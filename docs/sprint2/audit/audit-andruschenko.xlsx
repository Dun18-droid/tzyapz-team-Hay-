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єстр" sheetId="1" state="visible" r:id="rId3"/>
    <sheet name="Сумнівні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<sst xmlns="http://schemas.openxmlformats.org/spreadsheetml/2006/main" count="147" uniqueCount="101">
  <si>
    <t xml:space="preserve">Особистий аркуш незалежного аудиту SRS 1.0 (SN-SRS-01) — розділи 2, 4, 5, 6</t>
  </si>
  <si>
    <t xml:space="preserve">Аудитор: Андрущенко Костянтин (КТ + СМ), Спринт 2. Аркуш передається Тест-аналітику для зведення; до сесії зведення (Д5) знахідки з колегами не обговорюються.</t>
  </si>
  <si>
    <t xml:space="preserve">№</t>
  </si>
  <si>
    <t xml:space="preserve">ID вимоги</t>
  </si>
  <si>
    <t xml:space="preserve">Критерій (пункт чек-листа)</t>
  </si>
  <si>
    <t xml:space="preserve">Опис дефекту</t>
  </si>
  <si>
    <t xml:space="preserve">Пропозиція виправлення</t>
  </si>
  <si>
    <t xml:space="preserve">Хто знайшов</t>
  </si>
  <si>
    <t xml:space="preserve">Статус</t>
  </si>
  <si>
    <t xml:space="preserve">GUI-20</t>
  </si>
  <si>
    <t xml:space="preserve">однозначність (п. 1, 4)</t>
  </si>
  <si>
    <t xml:space="preserve">«Поля «Check In» і «Check Out» показують дату у форматі дд/мм/рррр або мм/дд/рррр залежно від налаштувань» — названо два формати, а «налаштувань» чого саме (браузера, готелю, гостя), не визначено; тест-кейс не має єдиного очікуваного значення.</t>
  </si>
  <si>
    <t xml:space="preserve">«Поля «Check In» і «Check Out» показують дату у форматі мм/дд/рррр; у параметрах URL checkin і checkout дата передається як РРРР-ММ-ДД (F-20). Натискання на поле відкриває календар». Формат звірити на demo. Потребує підтвердження замовником.</t>
  </si>
  <si>
    <t xml:space="preserve">Андрущенко</t>
  </si>
  <si>
    <t xml:space="preserve">чернетка (до зведення)</t>
  </si>
  <si>
    <t xml:space="preserve">BL-30</t>
  </si>
  <si>
    <t xml:space="preserve">однозначність (п. 1, 4, 5)</t>
  </si>
  <si>
    <t xml:space="preserve">«за ночі у вихідні дні … надбавка 15 %» — не визначено, які дні тижня вихідні і чи йдеться про ніч «у вихідний день» чи «напередодні вихідного» (у замовленні на функцію, каталог п. 6.4, сказано «ночі напередодні вихідних»); термін відсутній у розд. 1.3. Від цього залежить результат isWeekendNight і BL-50.</t>
  </si>
  <si>
    <t xml:space="preserve">«Надбавка 15 % застосовується до ночей, що починаються в п'ятницю і суботу (ніч ідентифікується датою початку); isWeekendNight(date) повертає true для п'ятниці й суботи». Додати термін «вихідна ніч» до розд. 1.3. Потребує підтвердження замовником.</t>
  </si>
  <si>
    <t xml:space="preserve">розд. 2.1 (рядок «Адміністратор готелю») ↔ F-120</t>
  </si>
  <si>
    <t xml:space="preserve">однозначність (п. 5)</t>
  </si>
  <si>
    <t xml:space="preserve">Розд. 2.1 (і 1.2) називає функцію «звіт бронювань», а F-120 — «звіт заповнюваності номерів»; термін не єдиний і не визначений у розд. 1.3, незрозуміло, один це звіт чи два.</t>
  </si>
  <si>
    <t xml:space="preserve">Замінити у розд. 1.2 і 2.1 «звіт бронювань» на «звіт заповнюваності номерів» (як у F-120) і додати визначення терміна до розд. 1.3: «Заповнюваність — частка ночей періоду, у які номер був зайнятий».</t>
  </si>
  <si>
    <t xml:space="preserve">GUI-40</t>
  </si>
  <si>
    <t xml:space="preserve">повнота (п. 1)</t>
  </si>
  <si>
    <t xml:space="preserve">«містить текстові поля з підказками «Firstname», «Lastname», «Email» та кнопки…» — поле «Phone» пропущено, хоча F-60 вимагає чотири поля, а GUI-80 — заповнення «всіх полів».</t>
  </si>
  <si>
    <t xml:space="preserve">«…текстові поля з підказками «Firstname», «Lastname», «Email», «Phone» та кнопки «Reserve Now» і «Cancel»…».</t>
  </si>
  <si>
    <t xml:space="preserve">BL-10</t>
  </si>
  <si>
    <t xml:space="preserve">повнота (п. 2, 4, 5)</t>
  </si>
  <si>
    <t xml:space="preserve">Метод validate приймає guests і capacity, але серед перевірок кількість гостей відсутня: допустимі й недопустимі значення не обумовлено, реакції немає; перелік кодів BookingError не наведено, тому «список кодів помилок» неможливо перевірити. Каталог (п. 6.7) прямо відносить «гості в межах місткості» до BookingValidator.</t>
  </si>
  <si>
    <t xml:space="preserve">Додати: «кількість гостей — ціле від 1 до capacity включно; інакше код INVALID_GUESTS». Навести перелік BookingError: INVALID_DATE_ORDER, INVALID_NIGHTS, PAST_CHECK_IN, INVALID_GUESTS, INVALID_EMAIL, INVALID_PHONE. Назви кодів потребують підтвердження замовником.</t>
  </si>
  <si>
    <t xml:space="preserve">U-20</t>
  </si>
  <si>
    <t xml:space="preserve">повнота (п. 3)</t>
  </si>
  <si>
    <t xml:space="preserve">«…за єдиною схемою розмітки, визначеною у вимозі GUI-120» — вимоги GUI-120 не існує (розд. 4 завершується GUI-90).</t>
  </si>
  <si>
    <t xml:space="preserve">«Усі форми гостьової частини (бронювання — F-60, контактна — F-70) оформлюються однаково: назва поля подається підказкою, перелік помилок валідації показується над кнопкою відправки (GUI-80, F-70)»; посилання на GUI-120 вилучити.</t>
  </si>
  <si>
    <t xml:space="preserve">D-20</t>
  </si>
  <si>
    <t xml:space="preserve">«…згідно з корпоративним стандартом SN-DOC-07 «Стандарт документації»» — документа немає ні в розд. 1.4 «Посилання», ні серед матеріалів команди.</t>
  </si>
  <si>
    <t xml:space="preserve">«Довідка адміністратора описує вхід і вихід (F-80), створення і видалення номера (F-90), роботу з повідомленнями (F-100) і звіт (F-120) і зберігається як docs/admin-help.md у репозиторії». Якщо SN-DOC-07 існує, додати його до розд. 1.4 і передати команді. Потребує підтвердження замовником.</t>
  </si>
  <si>
    <t xml:space="preserve">GUI-50 ↔ F-50</t>
  </si>
  <si>
    <t xml:space="preserve">несуперечливість (п. 2)</t>
  </si>
  <si>
    <t xml:space="preserve">GUI-50: «Service fee £10», F-50: «Service fee £15» і «Total = добуток + 25 + 15»; одна й та сама комісія має два значення.</t>
  </si>
  <si>
    <t xml:space="preserve">У GUI-50 замінити «£10» на «£15» (за F-50). Потребує підтвердження замовником.</t>
  </si>
  <si>
    <t xml:space="preserve">GUI-80</t>
  </si>
  <si>
    <t xml:space="preserve">несуперечливість (п. 1)</t>
  </si>
  <si>
    <t xml:space="preserve">«кнопка «Reserve Now» … неактивна, доки не заповнено всі поля» і далі «при натисканні «Reserve Now» з порожніми полями система показує перелік помилок» — неактивну кнопку натиснути не можна; частини однієї вимоги суперечать одна одній.</t>
  </si>
  <si>
    <t xml:space="preserve">«Кнопка «Reserve Now» завжди активна; при натисканні з порожніми або некоректними полями над кнопкою показується перелік помилок валідації, бронювання не зберігається» (узгоджено з F-70). Потребує підтвердження замовником.</t>
  </si>
  <si>
    <t xml:space="preserve">F-110 ↔ BL-60 (BL-80)</t>
  </si>
  <si>
    <t xml:space="preserve">F-110: скасування безкоштовне за «5 або більше днів» до заїзду, а BL-60 і BL-80: безкоштовне від 7 днів; для 5–6 днів F-110 дає 0 %, BL-60 — 50 %.</t>
  </si>
  <si>
    <t xml:space="preserve">У F-110 замінити «5 або більше» на «7 або більше» і додати «від 3 до 6 днів — 50 %, менше 3 — 100 % згідно з BL-60». Потребує підтвердження замовником.</t>
  </si>
  <si>
    <t xml:space="preserve">S-20 ↔ F-130</t>
  </si>
  <si>
    <t xml:space="preserve">S-20: сесія адміністратора завершується через 30 хв неактивності; F-130: сесія зберігається «до натискання Logout або протягом 24 годин».</t>
  </si>
  <si>
    <t xml:space="preserve">F-130: «Сесія адміністратора зберігається до натискання «Logout» або до 30 хв неактивності (S-20), після чого потрібен повторний вхід». Потребує підтвердження замовником.</t>
  </si>
  <si>
    <t xml:space="preserve">розд. 4, рядок 9 (між GUI-80 і GUI-90), без ID</t>
  </si>
  <si>
    <t xml:space="preserve">простежуваність (п. 2)</t>
  </si>
  <si>
    <t xml:space="preserve">Рядок «Форма «Send Us a Message» на головній сторінці містить поля … після успішного надсилання форма замінюється текстом подяки…» не має ідентифікатора; на нього не можна послатися в тест-кейсі й матриці.</t>
  </si>
  <si>
    <t xml:space="preserve">Присвоїти проміжний ID GUI-85 (крок 10 дозволяє вставку між GUI-80 і GUI-90); решту ID не змінювати.</t>
  </si>
  <si>
    <t xml:space="preserve">BL-80 ↔ BL-60</t>
  </si>
  <si>
    <t xml:space="preserve">простежуваність (п. 1, 5)</t>
  </si>
  <si>
    <t xml:space="preserve">BL-80 дублює правило BL-60 про безкоштовне скасування і половину вартості за 3–6 днів, але без третього рівня (100 % за менше ніж 3 дні): вимоги перекриваються за змістом і розходяться за повнотою.</t>
  </si>
  <si>
    <t xml:space="preserve">Залишити BL-60 з повним формулюванням; BL-80 вилучити із записом у журналі змін (номер залишається «дірою»), посилання з F-110 перенести на BL-60.</t>
  </si>
  <si>
    <t xml:space="preserve">GUI-90</t>
  </si>
  <si>
    <t xml:space="preserve">здійсненність</t>
  </si>
  <si>
    <t xml:space="preserve">«піксель-у-піксель однаково в усіх браузерах і на всіх пристроях, включно з кнопковими телефонами без браузера» — недосяжно (рушії відображення відрізняються, пристрій без браузера не відкриє вебзастосунок) і суперечить розд. 2.2 (лише поточні Chrome і Firefox).</t>
  </si>
  <si>
    <t xml:space="preserve">«У поточних версіях Chrome і Firefox на екранах шириною 375 і 1366 px немає перекриття елементів, обрізаного тексту і горизонтального прокручування сторінки».</t>
  </si>
  <si>
    <t xml:space="preserve">P-10</t>
  </si>
  <si>
    <t xml:space="preserve">«не довше ніж за 50 мс за будь-якого з'єднання, включно з мобільним 2G» — час завантаження залежить від каналу користувача, який продукт не контролює; на 2G 50 мс фізично недосяжні.</t>
  </si>
  <si>
    <t xml:space="preserve">«Сторінка зі списком номерів завантажується не довше ніж за 3 с на з'єднанні 10 Мбіт/с; відповідь REST-сервісу зі списком номерів — не довше ніж за 500 мс (95-й перцентиль)». Потребує підтвердження замовником.</t>
  </si>
  <si>
    <t xml:space="preserve">S-10</t>
  </si>
  <si>
    <t xml:space="preserve">«100 % захист від будь-яких кібератак, включно з невідомими на момент випуску» — недосяжно технічно; гарантувати захист від невідомих атак неможливо.</t>
  </si>
  <si>
    <t xml:space="preserve">«Сторінки та REST-ресурси адмінпанелі недоступні без активної сесії: запит без входу повертає перенаправлення на /admin або код 401/403; дані входу передаються лише через HTTPS».</t>
  </si>
  <si>
    <t xml:space="preserve">GUI-60</t>
  </si>
  <si>
    <t xml:space="preserve">тестопридатність</t>
  </si>
  <si>
    <t xml:space="preserve">«повідомлення про помилки … мають бути зрозумілими, доброзичливими і не дратувати гостя» — немає вимірюваного критерію «пройдено / не пройдено».</t>
  </si>
  <si>
    <t xml:space="preserve">«Кожне повідомлення про помилку називає поле і причину (наприклад, «Subject is required»), містить не більше 100 символів, не показує технічних кодів і виводиться над кнопкою відправки».</t>
  </si>
  <si>
    <t xml:space="preserve">P-20</t>
  </si>
  <si>
    <t xml:space="preserve">«витримує велике навантаження без деградації» — не задано ні кількості користувачів, ні метрики, ні порогу.</t>
  </si>
  <si>
    <t xml:space="preserve">«За 50 одночасних користувачів (перегляд номерів і перевірка доступності) 95-й перцентиль часу відповіді не перевищує 2 с, частка помилок — 0 %». Потребує підтвердження замовником.</t>
  </si>
  <si>
    <t xml:space="preserve">U-10</t>
  </si>
  <si>
    <t xml:space="preserve">«Інтерфейс гостьової частини інтуїтивно зрозумілий» — слово-маркер без числа, умови й способу спостереження.</t>
  </si>
  <si>
    <t xml:space="preserve">«Новий гість без інструктажу бронює номер (від вибору дат до «Reserve Now») не довше ніж за 3 хв і не більше ніж з однією помилкою; перевірка на 5 учасниках, критерій — 4 з 5».</t>
  </si>
  <si>
    <t xml:space="preserve">Розподіл знайдених дефектів за критеріями</t>
  </si>
  <si>
    <t xml:space="preserve">Критерій</t>
  </si>
  <si>
    <t xml:space="preserve">Кількість (норматив ≥ 2)</t>
  </si>
  <si>
    <t xml:space="preserve">однозначність</t>
  </si>
  <si>
    <t xml:space="preserve">повнота</t>
  </si>
  <si>
    <t xml:space="preserve">несуперечливість</t>
  </si>
  <si>
    <t xml:space="preserve">простежуваність</t>
  </si>
  <si>
    <t xml:space="preserve">Разом</t>
  </si>
  <si>
    <t xml:space="preserve">Примітка: «Потребує підтвердження замовником» — запропоноване значення не випливає з SRS і йде в питання замовнику (docs/sprint2/demo-scenario.md). Для дефектів на стику розділів ID подано через «↔»; у зведеному реєстрі рядок прив'язується до вимоги, яку правимо.</t>
  </si>
  <si>
    <t xml:space="preserve">Кандидати, які не внесено до реєстру — для обговорення на зведенні</t>
  </si>
  <si>
    <t xml:space="preserve">ID / місце</t>
  </si>
  <si>
    <t xml:space="preserve">Чому сумнівно</t>
  </si>
  <si>
    <t xml:space="preserve">GUI-70</t>
  </si>
  <si>
    <t xml:space="preserve">Сторінка входу описує у шапці кнопку «Logout», яка має сенс лише для авторизованого адміністратора (F-80). Можлива несуперечливість (п. 2) — підтвердити на demo, чи є кнопка на сторінці входу.</t>
  </si>
  <si>
    <t xml:space="preserve">BL-20 ↔ F-70</t>
  </si>
  <si>
    <t xml:space="preserve">Телефон: BL-20 вимагає «+380» і 9 цифр, F-70 допускає 11–21 символ. Правила для різних форм/шарів — не обов'язково суперечність; перевірити, чи йдеться про одне поле.</t>
  </si>
  <si>
    <t xml:space="preserve">розд. 2.2</t>
  </si>
  <si>
    <t xml:space="preserve">«поточних версій Chrome і Firefox» — версії не визначені (однозначність, п. 2); слабкий кандидат.</t>
  </si>
  <si>
    <t xml:space="preserve">розд. 2.1 «Менеджер»</t>
  </si>
  <si>
    <t xml:space="preserve">Менеджер «затверджує правила розділу 5», але жодна F-вимога не описує, як (повнота, п. 2). Каталог каже, що менеджерські функції описують у процесах і user stories, тому ймовірно не дефект.</t>
  </si>
  <si>
    <t xml:space="preserve">Пропуск «Phone» можна класифікувати і як несуперечливість із F-60 (п. 2). Обрано повноту, бо виправлення додає відсутнє поле.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</si>
</sst>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5" min="4" style="0" width="62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46.25" hidden="false" customHeight="false" outlineLevel="0" collapsed="false">
      <c r="A5" s="4" t="n">
        <v>1</v>
      </c>
      <c r="B5" s="5" t="s">
        <v>9</v>
      </c>
      <c r="C5" s="5" t="s">
        <v>10</v>
      </c>
      <c r="D5" s="5" t="s">
        <v>11</v>
      </c>
      <c r="E5" s="5" t="s">
        <v>12</v>
      </c>
      <c r="F5" s="4" t="s">
        <v>13</v>
      </c>
      <c r="G5" s="5" t="s">
        <v>14</v>
      </c>
    </row>
    <row r="6" customFormat="false" ht="57.45" hidden="false" customHeight="false" outlineLevel="0" collapsed="false">
      <c r="A6" s="4" t="n">
        <v>2</v>
      </c>
      <c r="B6" s="5" t="s">
        <v>15</v>
      </c>
      <c r="C6" s="5" t="s">
        <v>16</v>
      </c>
      <c r="D6" s="5" t="s">
        <v>17</v>
      </c>
      <c r="E6" s="5" t="s">
        <v>18</v>
      </c>
      <c r="F6" s="4" t="s">
        <v>13</v>
      </c>
      <c r="G6" s="5" t="s">
        <v>14</v>
      </c>
    </row>
    <row r="7" customFormat="false" ht="35.05" hidden="false" customHeight="false" outlineLevel="0" collapsed="false">
      <c r="A7" s="4" t="n">
        <v>3</v>
      </c>
      <c r="B7" s="5" t="s">
        <v>19</v>
      </c>
      <c r="C7" s="5" t="s">
        <v>20</v>
      </c>
      <c r="D7" s="5" t="s">
        <v>21</v>
      </c>
      <c r="E7" s="5" t="s">
        <v>22</v>
      </c>
      <c r="F7" s="4" t="s">
        <v>13</v>
      </c>
      <c r="G7" s="5" t="s">
        <v>14</v>
      </c>
    </row>
    <row r="8" customFormat="false" ht="35.05" hidden="false" customHeight="false" outlineLevel="0" collapsed="false">
      <c r="A8" s="4" t="n">
        <v>4</v>
      </c>
      <c r="B8" s="5" t="s">
        <v>23</v>
      </c>
      <c r="C8" s="5" t="s">
        <v>24</v>
      </c>
      <c r="D8" s="5" t="s">
        <v>25</v>
      </c>
      <c r="E8" s="5" t="s">
        <v>26</v>
      </c>
      <c r="F8" s="4" t="s">
        <v>13</v>
      </c>
      <c r="G8" s="5" t="s">
        <v>14</v>
      </c>
    </row>
    <row r="9" customFormat="false" ht="57.45" hidden="false" customHeight="false" outlineLevel="0" collapsed="false">
      <c r="A9" s="4" t="n">
        <v>5</v>
      </c>
      <c r="B9" s="5" t="s">
        <v>27</v>
      </c>
      <c r="C9" s="5" t="s">
        <v>28</v>
      </c>
      <c r="D9" s="5" t="s">
        <v>29</v>
      </c>
      <c r="E9" s="5" t="s">
        <v>30</v>
      </c>
      <c r="F9" s="4" t="s">
        <v>13</v>
      </c>
      <c r="G9" s="5" t="s">
        <v>14</v>
      </c>
    </row>
    <row r="10" customFormat="false" ht="46.25" hidden="false" customHeight="false" outlineLevel="0" collapsed="false">
      <c r="A10" s="4" t="n">
        <v>6</v>
      </c>
      <c r="B10" s="5" t="s">
        <v>31</v>
      </c>
      <c r="C10" s="5" t="s">
        <v>32</v>
      </c>
      <c r="D10" s="5" t="s">
        <v>33</v>
      </c>
      <c r="E10" s="5" t="s">
        <v>34</v>
      </c>
      <c r="F10" s="4" t="s">
        <v>13</v>
      </c>
      <c r="G10" s="5" t="s">
        <v>14</v>
      </c>
    </row>
    <row r="11" customFormat="false" ht="57.45" hidden="false" customHeight="false" outlineLevel="0" collapsed="false">
      <c r="A11" s="4" t="n">
        <v>7</v>
      </c>
      <c r="B11" s="5" t="s">
        <v>35</v>
      </c>
      <c r="C11" s="5" t="s">
        <v>32</v>
      </c>
      <c r="D11" s="5" t="s">
        <v>36</v>
      </c>
      <c r="E11" s="5" t="s">
        <v>37</v>
      </c>
      <c r="F11" s="4" t="s">
        <v>13</v>
      </c>
      <c r="G11" s="5" t="s">
        <v>14</v>
      </c>
    </row>
    <row r="12" customFormat="false" ht="23.85" hidden="false" customHeight="false" outlineLevel="0" collapsed="false">
      <c r="A12" s="4" t="n">
        <v>8</v>
      </c>
      <c r="B12" s="5" t="s">
        <v>38</v>
      </c>
      <c r="C12" s="5" t="s">
        <v>39</v>
      </c>
      <c r="D12" s="5" t="s">
        <v>40</v>
      </c>
      <c r="E12" s="5" t="s">
        <v>41</v>
      </c>
      <c r="F12" s="4" t="s">
        <v>13</v>
      </c>
      <c r="G12" s="5" t="s">
        <v>14</v>
      </c>
    </row>
    <row r="13" customFormat="false" ht="46.25" hidden="false" customHeight="false" outlineLevel="0" collapsed="false">
      <c r="A13" s="4" t="n">
        <v>9</v>
      </c>
      <c r="B13" s="5" t="s">
        <v>42</v>
      </c>
      <c r="C13" s="5" t="s">
        <v>43</v>
      </c>
      <c r="D13" s="5" t="s">
        <v>44</v>
      </c>
      <c r="E13" s="5" t="s">
        <v>45</v>
      </c>
      <c r="F13" s="4" t="s">
        <v>13</v>
      </c>
      <c r="G13" s="5" t="s">
        <v>14</v>
      </c>
    </row>
    <row r="14" customFormat="false" ht="35.05" hidden="false" customHeight="false" outlineLevel="0" collapsed="false">
      <c r="A14" s="4" t="n">
        <v>10</v>
      </c>
      <c r="B14" s="5" t="s">
        <v>46</v>
      </c>
      <c r="C14" s="5" t="s">
        <v>39</v>
      </c>
      <c r="D14" s="5" t="s">
        <v>47</v>
      </c>
      <c r="E14" s="5" t="s">
        <v>48</v>
      </c>
      <c r="F14" s="4" t="s">
        <v>13</v>
      </c>
      <c r="G14" s="5" t="s">
        <v>14</v>
      </c>
    </row>
    <row r="15" customFormat="false" ht="35.05" hidden="false" customHeight="false" outlineLevel="0" collapsed="false">
      <c r="A15" s="4" t="n">
        <v>11</v>
      </c>
      <c r="B15" s="5" t="s">
        <v>49</v>
      </c>
      <c r="C15" s="5" t="s">
        <v>39</v>
      </c>
      <c r="D15" s="5" t="s">
        <v>50</v>
      </c>
      <c r="E15" s="5" t="s">
        <v>51</v>
      </c>
      <c r="F15" s="4" t="s">
        <v>13</v>
      </c>
      <c r="G15" s="5" t="s">
        <v>14</v>
      </c>
    </row>
    <row r="16" customFormat="false" ht="46.25" hidden="false" customHeight="false" outlineLevel="0" collapsed="false">
      <c r="A16" s="4" t="n">
        <v>12</v>
      </c>
      <c r="B16" s="5" t="s">
        <v>52</v>
      </c>
      <c r="C16" s="5" t="s">
        <v>53</v>
      </c>
      <c r="D16" s="5" t="s">
        <v>54</v>
      </c>
      <c r="E16" s="5" t="s">
        <v>55</v>
      </c>
      <c r="F16" s="4" t="s">
        <v>13</v>
      </c>
      <c r="G16" s="5" t="s">
        <v>14</v>
      </c>
    </row>
    <row r="17" customFormat="false" ht="35.05" hidden="false" customHeight="false" outlineLevel="0" collapsed="false">
      <c r="A17" s="4" t="n">
        <v>13</v>
      </c>
      <c r="B17" s="5" t="s">
        <v>56</v>
      </c>
      <c r="C17" s="5" t="s">
        <v>57</v>
      </c>
      <c r="D17" s="5" t="s">
        <v>58</v>
      </c>
      <c r="E17" s="5" t="s">
        <v>59</v>
      </c>
      <c r="F17" s="4" t="s">
        <v>13</v>
      </c>
      <c r="G17" s="5" t="s">
        <v>14</v>
      </c>
    </row>
    <row r="18" customFormat="false" ht="46.25" hidden="false" customHeight="false" outlineLevel="0" collapsed="false">
      <c r="A18" s="4" t="n">
        <v>14</v>
      </c>
      <c r="B18" s="5" t="s">
        <v>60</v>
      </c>
      <c r="C18" s="5" t="s">
        <v>61</v>
      </c>
      <c r="D18" s="5" t="s">
        <v>62</v>
      </c>
      <c r="E18" s="5" t="s">
        <v>63</v>
      </c>
      <c r="F18" s="4" t="s">
        <v>13</v>
      </c>
      <c r="G18" s="5" t="s">
        <v>14</v>
      </c>
    </row>
    <row r="19" customFormat="false" ht="46.25" hidden="false" customHeight="false" outlineLevel="0" collapsed="false">
      <c r="A19" s="4" t="n">
        <v>15</v>
      </c>
      <c r="B19" s="5" t="s">
        <v>64</v>
      </c>
      <c r="C19" s="5" t="s">
        <v>61</v>
      </c>
      <c r="D19" s="5" t="s">
        <v>65</v>
      </c>
      <c r="E19" s="5" t="s">
        <v>66</v>
      </c>
      <c r="F19" s="4" t="s">
        <v>13</v>
      </c>
      <c r="G19" s="5" t="s">
        <v>14</v>
      </c>
    </row>
    <row r="20" customFormat="false" ht="35.05" hidden="false" customHeight="false" outlineLevel="0" collapsed="false">
      <c r="A20" s="4" t="n">
        <v>16</v>
      </c>
      <c r="B20" s="5" t="s">
        <v>67</v>
      </c>
      <c r="C20" s="5" t="s">
        <v>61</v>
      </c>
      <c r="D20" s="5" t="s">
        <v>68</v>
      </c>
      <c r="E20" s="5" t="s">
        <v>69</v>
      </c>
      <c r="F20" s="4" t="s">
        <v>13</v>
      </c>
      <c r="G20" s="5" t="s">
        <v>14</v>
      </c>
    </row>
    <row r="21" customFormat="false" ht="35.05" hidden="false" customHeight="false" outlineLevel="0" collapsed="false">
      <c r="A21" s="4" t="n">
        <v>17</v>
      </c>
      <c r="B21" s="5" t="s">
        <v>70</v>
      </c>
      <c r="C21" s="5" t="s">
        <v>71</v>
      </c>
      <c r="D21" s="5" t="s">
        <v>72</v>
      </c>
      <c r="E21" s="5" t="s">
        <v>73</v>
      </c>
      <c r="F21" s="4" t="s">
        <v>13</v>
      </c>
      <c r="G21" s="5" t="s">
        <v>14</v>
      </c>
    </row>
    <row r="22" customFormat="false" ht="35.05" hidden="false" customHeight="false" outlineLevel="0" collapsed="false">
      <c r="A22" s="4" t="n">
        <v>18</v>
      </c>
      <c r="B22" s="5" t="s">
        <v>74</v>
      </c>
      <c r="C22" s="5" t="s">
        <v>71</v>
      </c>
      <c r="D22" s="5" t="s">
        <v>75</v>
      </c>
      <c r="E22" s="5" t="s">
        <v>76</v>
      </c>
      <c r="F22" s="4" t="s">
        <v>13</v>
      </c>
      <c r="G22" s="5" t="s">
        <v>14</v>
      </c>
    </row>
    <row r="23" customFormat="false" ht="35.05" hidden="false" customHeight="false" outlineLevel="0" collapsed="false">
      <c r="A23" s="4" t="n">
        <v>19</v>
      </c>
      <c r="B23" s="5" t="s">
        <v>77</v>
      </c>
      <c r="C23" s="5" t="s">
        <v>71</v>
      </c>
      <c r="D23" s="5" t="s">
        <v>78</v>
      </c>
      <c r="E23" s="5" t="s">
        <v>79</v>
      </c>
      <c r="F23" s="4" t="s">
        <v>13</v>
      </c>
      <c r="G23" s="5" t="s">
        <v>14</v>
      </c>
    </row>
    <row r="25" customFormat="false" ht="15" hidden="false" customHeight="false" outlineLevel="0" collapsed="false">
      <c r="B25" s="6" t="s">
        <v>80</v>
      </c>
    </row>
    <row r="26" customFormat="false" ht="15" hidden="false" customHeight="false" outlineLevel="0" collapsed="false">
      <c r="B26" s="3" t="s">
        <v>81</v>
      </c>
      <c r="C26" s="3" t="s">
        <v>82</v>
      </c>
    </row>
    <row r="27" customFormat="false" ht="15" hidden="false" customHeight="false" outlineLevel="0" collapsed="false">
      <c r="B27" s="7" t="s">
        <v>83</v>
      </c>
      <c r="C27" s="4" t="n">
        <f aca="false">COUNTIF($C$5:$C$23,B27&amp;"*")</f>
        <v>3</v>
      </c>
    </row>
    <row r="28" customFormat="false" ht="15" hidden="false" customHeight="false" outlineLevel="0" collapsed="false">
      <c r="B28" s="7" t="s">
        <v>84</v>
      </c>
      <c r="C28" s="4" t="n">
        <f aca="false">COUNTIF($C$5:$C$23,B28&amp;"*")</f>
        <v>4</v>
      </c>
    </row>
    <row r="29" customFormat="false" ht="15" hidden="false" customHeight="false" outlineLevel="0" collapsed="false">
      <c r="B29" s="7" t="s">
        <v>85</v>
      </c>
      <c r="C29" s="4" t="n">
        <f aca="false">COUNTIF($C$5:$C$23,B29&amp;"*")</f>
        <v>4</v>
      </c>
    </row>
    <row r="30" customFormat="false" ht="15" hidden="false" customHeight="false" outlineLevel="0" collapsed="false">
      <c r="B30" s="7" t="s">
        <v>86</v>
      </c>
      <c r="C30" s="4" t="n">
        <f aca="false">COUNTIF($C$5:$C$23,B30&amp;"*")</f>
        <v>2</v>
      </c>
    </row>
    <row r="31" customFormat="false" ht="15" hidden="false" customHeight="false" outlineLevel="0" collapsed="false">
      <c r="B31" s="7" t="s">
        <v>61</v>
      </c>
      <c r="C31" s="4" t="n">
        <f aca="false">COUNTIF($C$5:$C$23,B31&amp;"*")</f>
        <v>3</v>
      </c>
    </row>
    <row r="32" customFormat="false" ht="15" hidden="false" customHeight="false" outlineLevel="0" collapsed="false">
      <c r="B32" s="7" t="s">
        <v>71</v>
      </c>
      <c r="C32" s="4" t="n">
        <f aca="false">COUNTIF($C$5:$C$23,B32&amp;"*")</f>
        <v>3</v>
      </c>
    </row>
    <row r="33" customFormat="false" ht="15" hidden="false" customHeight="false" outlineLevel="0" collapsed="false">
      <c r="B33" s="6" t="s">
        <v>87</v>
      </c>
      <c r="C33" s="8" t="n">
        <f aca="false">SUM(C27:C32)</f>
        <v>19</v>
      </c>
    </row>
    <row r="35" customFormat="false" ht="15" hidden="false" customHeight="false" outlineLevel="0" collapsed="false">
      <c r="A35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89</v>
      </c>
    </row>
    <row r="3" customFormat="false" ht="15" hidden="false" customHeight="false" outlineLevel="0" collapsed="false">
      <c r="A3" s="3" t="s">
        <v>90</v>
      </c>
      <c r="B3" s="3" t="s">
        <v>91</v>
      </c>
    </row>
    <row r="4" customFormat="false" ht="23.85" hidden="false" customHeight="false" outlineLevel="0" collapsed="false">
      <c r="A4" s="5" t="s">
        <v>92</v>
      </c>
      <c r="B4" s="5" t="s">
        <v>93</v>
      </c>
    </row>
    <row r="5" customFormat="false" ht="23.85" hidden="false" customHeight="false" outlineLevel="0" collapsed="false">
      <c r="A5" s="5" t="s">
        <v>94</v>
      </c>
      <c r="B5" s="5" t="s">
        <v>95</v>
      </c>
    </row>
    <row r="6" customFormat="false" ht="15" hidden="false" customHeight="false" outlineLevel="0" collapsed="false">
      <c r="A6" s="5" t="s">
        <v>96</v>
      </c>
      <c r="B6" s="5" t="s">
        <v>97</v>
      </c>
    </row>
    <row r="7" customFormat="false" ht="23.85" hidden="false" customHeight="false" outlineLevel="0" collapsed="false">
      <c r="A7" s="5" t="s">
        <v>98</v>
      </c>
      <c r="B7" s="5" t="s">
        <v>99</v>
      </c>
    </row>
    <row r="8" customFormat="false" ht="23.85" hidden="false" customHeight="false" outlineLevel="0" collapsed="false">
      <c r="A8" s="5" t="s">
        <v>23</v>
      </c>
      <c r="B8" s="5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2026-10-10T16:18:06Z</dcterms:created>
  <dc:creator>openpyxl</dc:creator>
  <dc:description/>
  <dc:language>en-US</dc:language>
  <cp:lastModifiedBy/>
  <dcterms:modified xsi:type="dcterms:W3CDTF">2026-10-10T16:18:07Z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