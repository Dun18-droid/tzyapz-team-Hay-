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єстр" sheetId="1" state="visible" r:id="rId3"/>
    <sheet name="Спірні" sheetId="2" state="visible" r:id="rId4"/>
    <sheet name="Розподіл розділів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<sst xmlns="http://schemas.openxmlformats.org/spreadsheetml/2006/main" count="285" uniqueCount="176">
  <si>
    <t xml:space="preserve">Реєстр дефектів вимог — «СтейНау», SRS 1.0</t>
  </si>
  <si>
    <t xml:space="preserve">Зведено Тест-аналітиком з аркушів Дятлова М., Андрущенка К., Мукоїда Е. Дублікати об'єднано (зберігаючи всіх авторів); необґрунтовані рядки — на аркуші «Спірні».</t>
  </si>
  <si>
    <t xml:space="preserve">№</t>
  </si>
  <si>
    <t xml:space="preserve">ID вимоги</t>
  </si>
  <si>
    <t xml:space="preserve">Критерій</t>
  </si>
  <si>
    <t xml:space="preserve">Опис дефекту</t>
  </si>
  <si>
    <t xml:space="preserve">Пропозиція виправлення</t>
  </si>
  <si>
    <t xml:space="preserve">Хто знайшов</t>
  </si>
  <si>
    <t xml:space="preserve">Статус</t>
  </si>
  <si>
    <t xml:space="preserve">розд. 1.2, 2.1 ↔ F-120</t>
  </si>
  <si>
    <t xml:space="preserve">Однозначність</t>
  </si>
  <si>
    <t xml:space="preserve">(п. 5) Розд. 1.2 і 2.1 називають функцію «звіт бронювань», а F-120 — «звіт заповнюваності номерів»; термін не єдиний і не визначений у розд. 1.3 — незрозуміло, один це звіт чи два.</t>
  </si>
  <si>
    <t xml:space="preserve">У розд. 1.2 і 2.1 замінити «звіт бронювань» на «звіт заповнюваності номерів»; додати до 1.3 термін «Заповнюваність — частка ночей періоду, у які номер був зайнятий».</t>
  </si>
  <si>
    <t xml:space="preserve">Андрущенко К.</t>
  </si>
  <si>
    <t xml:space="preserve">Зведено</t>
  </si>
  <si>
    <t xml:space="preserve">F-40</t>
  </si>
  <si>
    <t xml:space="preserve">Тестопридатність</t>
  </si>
  <si>
    <t xml:space="preserve">«швидко показує…, ніколи не показує зайнятий номер… і працює без помилок за будь-яких умов» — маркери без числа і умов, немає критерію «пройдено / не пройдено».</t>
  </si>
  <si>
    <t xml:space="preserve">«Після натискання «Check Availability» система показує перелік вільних номерів не довше ніж за 3 с; номер, зайнятий хоча б на одну ніч вибраного інтервалу, у переліку не показується» (потребує підтвердження замовником).</t>
  </si>
  <si>
    <t xml:space="preserve">Мукоїд Е.</t>
  </si>
  <si>
    <t xml:space="preserve">Зведено; питання замовнику</t>
  </si>
  <si>
    <t xml:space="preserve">F-60</t>
  </si>
  <si>
    <t xml:space="preserve">(п. 1, 4) «…і надсилає гостю підтвердження» — не визначено канал (email? екран?) і вміст підтвердження; зазначено також, що «система перевіряє поля» без правил.</t>
  </si>
  <si>
    <t xml:space="preserve">«…зберігає бронювання на вибрані дати і показує на сторінці повідомлення «Booking Successful!» з вибраними датами проживання» (потребує підтвердження замовником).</t>
  </si>
  <si>
    <t xml:space="preserve">F-80 (другий рядок, «Logout»)</t>
  </si>
  <si>
    <t xml:space="preserve">Простежуваність</t>
  </si>
  <si>
    <t xml:space="preserve">(п. 1, 2) Два різні рядки мають однаковий ID F-80: вхід адміністратора і вихід («Адміністратор завершує сеанс кнопкою «Logout»…»). На вимогу не можна однозначно послатися в тест-кейсі чи матриці.</t>
  </si>
  <si>
    <t xml:space="preserve">Вимогу про вхід залишити як F-80; вимогу про вихід перенести під проміжний ID F-85, формулювання без змін.</t>
  </si>
  <si>
    <t xml:space="preserve">Дятлов М.</t>
  </si>
  <si>
    <t xml:space="preserve">F-100</t>
  </si>
  <si>
    <t xml:space="preserve">(п. 2, 4) «…з позначенням непрочитаних і може обробити повідомлення» — не визначено, що таке «обробити» (прочитати, видалити, відповісти).</t>
  </si>
  <si>
    <t xml:space="preserve">«…відкриває повідомлення зі списку; після відкриття воно позначається як прочитане і зникає з позначки непрочитаних» (потребує підтвердження замовником).</t>
  </si>
  <si>
    <t xml:space="preserve">F-110 ↔ BL-60 (BL-80)</t>
  </si>
  <si>
    <t xml:space="preserve">Несуперечливість</t>
  </si>
  <si>
    <t xml:space="preserve">(п. 2) F-110: безкоштовне скасування за «5 або більше днів», BL-60 і BL-80: за 7 і більше; для 5–6 днів F-110 дає 0 %, BL-60 — 50 %.</t>
  </si>
  <si>
    <t xml:space="preserve">«…безкоштовне, якщо до дати заїзду залишилось 7 або більше днів; в інших випадках — плата згідно з BL-60 (3–6 днів — 50 %, менше 3 — 100 %)».</t>
  </si>
  <si>
    <t xml:space="preserve">Дятлов М., Андрущенко К.</t>
  </si>
  <si>
    <t xml:space="preserve">F-120</t>
  </si>
  <si>
    <t xml:space="preserve">Здійсненність</t>
  </si>
  <si>
    <t xml:space="preserve">«…за будь-який період, включно з майбутніми, на основі фактичних даних про заселення і виселення» — для майбутнього періоду фактичних даних не існує.</t>
  </si>
  <si>
    <t xml:space="preserve">«…звіт заповнюваності номерів за минулий період на основі фактичних заселень і виселень; для майбутнього періоду — на основі підтверджених бронювань, з позначкою «Прогноз»» (потребує підтвердження замовником).</t>
  </si>
  <si>
    <t xml:space="preserve">F-130 ↔ S-20</t>
  </si>
  <si>
    <t xml:space="preserve">(п. 2) F-130: сесія діє «до Logout або протягом 24 годин», S-20: завершується через 30 хв неактивності.</t>
  </si>
  <si>
    <t xml:space="preserve">«Сесія адміністратора зберігається до натискання «Logout» або до автоматичного завершення за S-20 (30 хв неактивності), після чого потрібен повторний вхід».</t>
  </si>
  <si>
    <t xml:space="preserve">GUI-20</t>
  </si>
  <si>
    <t xml:space="preserve">(п. 1, 4) «дд/мм/рррр або мм/дд/рррр залежно від налаштувань» — два формати, не визначено чиї «налаштування»; дата 03/04/2026 читається двома способами.</t>
  </si>
  <si>
    <t xml:space="preserve">«Поля показують дату у форматі мм/дд/рррр; у параметрах URL checkin і checkout дата передається як РРРР-ММ-ДД (F-20)» (потребує підтвердження замовником; формат звірити на demo).</t>
  </si>
  <si>
    <t xml:space="preserve">GUI-40 ↔ F-60</t>
  </si>
  <si>
    <t xml:space="preserve">Повнота</t>
  </si>
  <si>
    <t xml:space="preserve">(п. 1) Форма містить поля «Firstname», «Lastname», «Email», але не «Phone», хоча F-60 вимагає чотири поля, а GUI-80 — заповнення всіх полів.</t>
  </si>
  <si>
    <t xml:space="preserve">«…текстові поля з підказками «Firstname», «Lastname», «Email», «Phone» та кнопки «Reserve Now» і «Cancel»…».</t>
  </si>
  <si>
    <t xml:space="preserve">Андрущенко К., Мукоїд Е.</t>
  </si>
  <si>
    <t xml:space="preserve">GUI-50 ↔ F-50</t>
  </si>
  <si>
    <t xml:space="preserve">(п. 2) GUI-50: «Service fee £10», F-50: «Service fee» £15 і «Total» = добуток + 25 + 15.</t>
  </si>
  <si>
    <t xml:space="preserve">У GUI-50 замінити «£10» на «£15».</t>
  </si>
  <si>
    <t xml:space="preserve">GUI-60</t>
  </si>
  <si>
    <t xml:space="preserve">Маркери «зрозумілими», «доброзичливими», «не дратувати гостя» — немає критерію «пройдено / не пройдено».</t>
  </si>
  <si>
    <t xml:space="preserve">«Кожне повідомлення про помилку називає поле і причину (наприклад, «Subject is required»), містить не більше 100 символів, не показує технічних кодів і виводиться над кнопкою відправки».</t>
  </si>
  <si>
    <t xml:space="preserve">GUI-80</t>
  </si>
  <si>
    <t xml:space="preserve">(п. 1) «кнопка «Reserve Now» … неактивна, доки не заповнено всі поля» і далі «при натисканні … з порожніми полями система показує перелік помилок» — на неактивну кнопку натиснути не можна.</t>
  </si>
  <si>
    <t xml:space="preserve">«Кнопка «Reserve Now» завжди активна; при натисканні з порожніми або некоректними полями над кнопкою показується перелік помилок, бронювання не зберігається».</t>
  </si>
  <si>
    <t xml:space="preserve">розд. 4, між GUI-80 і GUI-90, без ID</t>
  </si>
  <si>
    <t xml:space="preserve">(п. 2) Рядок «Форма «Send Us a Message» на головній сторінці містить поля…» не має ідентифікатора.</t>
  </si>
  <si>
    <t xml:space="preserve">Присвоїти проміжний ID GUI-85; решту ID не змінювати.</t>
  </si>
  <si>
    <t xml:space="preserve">GUI-90</t>
  </si>
  <si>
    <t xml:space="preserve">«піксель-у-піксель однаково в усіх браузерах і на всіх пристроях, включно з кнопковими телефонами без браузера» — недосяжно і суперечить розд. 2.2 (лише Chrome і Firefox).</t>
  </si>
  <si>
    <t xml:space="preserve">«У поточних версіях Chrome і Firefox на екранах шириною 375 і 1366 px немає перекриття елементів, обрізаного тексту і горизонтального прокручування».</t>
  </si>
  <si>
    <t xml:space="preserve">BL-10</t>
  </si>
  <si>
    <t xml:space="preserve">(п. 4, 5) validate не описує реакцію, коли checkIn або checkOut — null чи мають неправильний формат.</t>
  </si>
  <si>
    <t xml:space="preserve">«Якщо checkIn або checkOut дорівнює null або не є коректною датою, метод повертає код INVALID_DATE_FORMAT».</t>
  </si>
  <si>
    <t xml:space="preserve">(п. 2, 4, 5) Метод приймає guests і capacity, але перевірки кількості гостей немає; перелік кодів BookingError не наведено (код-перелік зазначили й Мукоїд Е.).</t>
  </si>
  <si>
    <t xml:space="preserve">«Кількість гостей — ціле від 1 до capacity включно; інакше код INVALID_GUESTS». Перелік BookingError: INVALID_DATE_ORDER, INVALID_NIGHTS, PAST_CHECK_IN, INVALID_GUESTS, INVALID_DATE_FORMAT, INVALID_EMAIL, INVALID_PHONE (назви звірити з SN-BL-01; потребує підтвердження замовником).</t>
  </si>
  <si>
    <t xml:space="preserve">BL-30</t>
  </si>
  <si>
    <t xml:space="preserve">(п. 1, 4, 5) «за ночі у вихідні дні» — не визначено, які дні вихідні і чи ніч «у вихідний» чи «напередодні вихідного»; термін відсутній у розд. 1.3.</t>
  </si>
  <si>
    <t xml:space="preserve">«Надбавка 15 % застосовується до ночей, що починаються в п'ятницю і суботу; isWeekendNight(date) повертає true для п'ятниці й суботи»; додати до 1.3 термін «Вихідна ніч» (потребує підтвердження замовником).</t>
  </si>
  <si>
    <t xml:space="preserve">BL-80 ↔ BL-60</t>
  </si>
  <si>
    <t xml:space="preserve">(п. 1, 5) BL-80 дублює правило BL-60 про 7+ днів і половину вартості за 3–6 днів, але без третього рівня (100 % за менше ніж 3 дні).</t>
  </si>
  <si>
    <t xml:space="preserve">Залишити BL-60 з повним формулюванням; BL-80 вилучити із записом у журналі змін («дірка» в нумерації); посилання з F-110 — на BL-60.</t>
  </si>
  <si>
    <t xml:space="preserve">P-10</t>
  </si>
  <si>
    <t xml:space="preserve">«…не довше ніж за 50 мс за будь-якого з'єднання, включно з мобільним 2G» — залежить від каналу гостя, який продукт не контролює; на 2G 50 мс фізично недосяжні.</t>
  </si>
  <si>
    <t xml:space="preserve">«Сторінка зі списком номерів завантажується не довше ніж за 3 с на з'єднанні 10 Мбіт/с; відповідь REST-сервісу зі списком номерів — не довше ніж за 500 мс (95-й перцентиль) при 10 одночасних клієнтах» (потребує підтвердження замовником).</t>
  </si>
  <si>
    <t xml:space="preserve">P-20</t>
  </si>
  <si>
    <t xml:space="preserve">Маркери «велике навантаження», «без деградації» — немає числа навантаження і межі деградації.</t>
  </si>
  <si>
    <t xml:space="preserve">«За 50 одночасних користувачів (перегляд номерів, перевірка доступності) 95-й перцентиль часу відповіді не перевищує 2 с, частка HTTP-помилок 5xx — менша за 1 %» (потребує підтвердження замовником).</t>
  </si>
  <si>
    <t xml:space="preserve">Дятлов М., Андрущенко К., Мукоїд Е.</t>
  </si>
  <si>
    <t xml:space="preserve">S-10</t>
  </si>
  <si>
    <t xml:space="preserve">«100 % захист від будь-яких кібератак, включно з невідомими» — гарантувати захист від невідомих атак неможливо; побічно порушена й тестопридатність.</t>
  </si>
  <si>
    <t xml:space="preserve">«Система реалізує стандарти OWASP Top 10; дані входу передаються лише через HTTPS; сторінки та REST-ресурси адмінпанелі недоступні без активної сесії (перенаправлення на /admin або код 401/403)».</t>
  </si>
  <si>
    <t xml:space="preserve">U-10</t>
  </si>
  <si>
    <t xml:space="preserve">Слово-маркер «інтуїтивно зрозумілий» не має числа, умови і способу спостереження.</t>
  </si>
  <si>
    <t xml:space="preserve">«Новий гість без інструктажу знаходить форму бронювання, вибирає дати і натискає «Reserve Now» не довше ніж за 2 хв і не більше ніж з однією помилкою; перевірка на 5 учасниках, критерій — 4 з 5» (потребує підтвердження замовником).</t>
  </si>
  <si>
    <t xml:space="preserve">U-20</t>
  </si>
  <si>
    <t xml:space="preserve">(п. 3) «…визначеною у вимозі GUI-120» — вимоги GUI-120 не існує, розд. 4 закінчується на GUI-90.</t>
  </si>
  <si>
    <t xml:space="preserve">«Усі форми гостьової частини (бронювання — F-60, контактна — F-70) оформлюються однаково: назва поля подається підказкою, перелік помилок показується над кнопкою відправки (GUI-80, F-70)».</t>
  </si>
  <si>
    <t xml:space="preserve">D-20</t>
  </si>
  <si>
    <t xml:space="preserve">(п. 3) «…корпоративним стандартом SN-DOC-07» — документа немає в п. 1.4 «Посилання»; вимогу неможливо перевірити.</t>
  </si>
  <si>
    <t xml:space="preserve">«Довідка адміністратора описує вхід і вихід (F-80, F-85), створення і видалення номера (F-90), роботу з повідомленнями (F-100) і звіт (F-120) і зберігається як docs/admin-help.md у репозиторії» (потребує підтвердження замовником; якщо SN-DOC-07 існує — додати до 1.4).</t>
  </si>
  <si>
    <t xml:space="preserve">Підсумок за критеріями</t>
  </si>
  <si>
    <t xml:space="preserve">Усього дефектів</t>
  </si>
  <si>
    <t xml:space="preserve">Норматив для 3 осіб: ≥12 дефектів, ≥2 на критерій</t>
  </si>
  <si>
    <t xml:space="preserve">Журнал обговорення спірних дефектів вимог («Адвокат замовника»)</t>
  </si>
  <si>
    <t xml:space="preserve">Фіксація позицій сторін за результатами сесії зведення та аудиту SRS</t>
  </si>
  <si>
    <t xml:space="preserve">Претензія / ID вимоги</t>
  </si>
  <si>
    <t xml:space="preserve">Автор</t>
  </si>
  <si>
    <t xml:space="preserve">Аргумент «адвоката замовника» / доказ із SRS</t>
  </si>
  <si>
    <t xml:space="preserve">Відповідь автора / коментар</t>
  </si>
  <si>
    <t xml:space="preserve">Рішення команди</t>
  </si>
  <si>
    <t xml:space="preserve">F-10 («Email валідний»)</t>
  </si>
  <si>
    <t xml:space="preserve">Мукоїд Е. (аркуш)</t>
  </si>
  <si>
    <t xml:space="preserve">У SRS 1.0 F-10 описує головну сторінку і меню; про Email і стандарт валідації там нічого немає — цитата відсутня в документі (п. 12 методички: опис має цитувати фрагмент).</t>
  </si>
  <si>
    <t xml:space="preserve">—</t>
  </si>
  <si>
    <t xml:space="preserve">Відхилено</t>
  </si>
  <si>
    <t xml:space="preserve">F-30 («Пошук повертає релевантні результати»)</t>
  </si>
  <si>
    <t xml:space="preserve">F-30 описує віджет «Check Availability &amp; Book Your Stay»; слів про «релевантні результати» немає. Тестопридатність «швидко» стосується F-40 (рядок 2).</t>
  </si>
  <si>
    <t xml:space="preserve">F-50 (платіжний шлюз)</t>
  </si>
  <si>
    <t xml:space="preserve">F-50 описує сторінку номера і блок «Price Summary»; оплати карткою немає, а онлайн-оплата прямо поза обсягом (п. 1.2).</t>
  </si>
  <si>
    <t xml:space="preserve">D-10 («зрозумілою мовою»)</t>
  </si>
  <si>
    <t xml:space="preserve">D-10 вимагає README, перелік класів і «javadoc українською»; суб'єктивного маркера «зрозумілою мовою» у вимозі немає.</t>
  </si>
  <si>
    <t xml:space="preserve">BL-50 (правило округлення)</t>
  </si>
  <si>
    <t xml:space="preserve">BL-50 прямо задає «округленням HALF_UP до 2 знаків» і для nightPrice, і для total зі знижкою; те саме в преамбулі розд. 5 і п. 2.3.</t>
  </si>
  <si>
    <t xml:space="preserve">розд. 2.3 «Терміни» (гість, адміністратор, бронювання)</t>
  </si>
  <si>
    <t xml:space="preserve">П. 2.3 — «Обмеження і припущення»; терміни в п. 1.3, де «Бронювання» і «Адмінпанель» визначено; ролі «Гість» і «Адміністратор» визначено в 2.1. Залишок («вихідна ніч») враховано в рядку 18.</t>
  </si>
  <si>
    <t xml:space="preserve">BL-20 (пробіли/дефіси в телефоні)</t>
  </si>
  <si>
    <t xml:space="preserve">Мукоїд Е. (аркуш), Андрущенко К. (сумнівні)</t>
  </si>
  <si>
    <t xml:space="preserve">Вимога каже «лише у форматі «+380» і рівно 9 цифр» — розділювачі, найімовірніше, вже виключено; є лише слабка неоднозначність (чи входять 380 у «9 цифр»). Також можливе розходження з F-70 (11–21 символ), але це різні форми.</t>
  </si>
  <si>
    <t xml:space="preserve">Для зведення залишено без запису в реєстрі.</t>
  </si>
  <si>
    <t xml:space="preserve">Не внесено; на розгляд КТ</t>
  </si>
  <si>
    <t xml:space="preserve">S-20 («неактивність» не визначено)</t>
  </si>
  <si>
    <t xml:space="preserve">Термін справді не визначено (п. 5 однозначності), але вимога тестується (30 хв без запитів). Слабкий дефект.</t>
  </si>
  <si>
    <t xml:space="preserve">Додати «неактивність — відсутність HTTP-запитів з цією сесією» — малий ризик.</t>
  </si>
  <si>
    <t xml:space="preserve">На розгляд КТ</t>
  </si>
  <si>
    <t xml:space="preserve">GUI-70 («Logout» на сторінці входу)</t>
  </si>
  <si>
    <t xml:space="preserve">Андрущенко К. (сумнівні)</t>
  </si>
  <si>
    <t xml:space="preserve">Кнопка «Logout» у шапці сторінки входу має сенс лише після входу; потрібна перевірка на demo.</t>
  </si>
  <si>
    <t xml:space="preserve">Не внесено; перевірити на demo</t>
  </si>
  <si>
    <t xml:space="preserve">F-120 (як дефект здійсненності)</t>
  </si>
  <si>
    <t xml:space="preserve">Опонент: «звіт за будь-який період» — вимога замовника.</t>
  </si>
  <si>
    <t xml:space="preserve">Вимога сама каже «включно з майбутніми» і «на основі фактичних даних» — для майбутнього їх не існує (здійсненність).</t>
  </si>
  <si>
    <t xml:space="preserve">Прийнято (рядок 7)</t>
  </si>
  <si>
    <t xml:space="preserve">F-130 vs S-20</t>
  </si>
  <si>
    <t xml:space="preserve">Опонент: 24 год і 30 хв можуть бути різними типами сесії.</t>
  </si>
  <si>
    <t xml:space="preserve">У F-130 сесія зберігається «до Logout або протягом 24 годин» без згадки неактивності; обидві вимоги в одному тесті несумісні.</t>
  </si>
  <si>
    <t xml:space="preserve">Прийнято (рядок 8)</t>
  </si>
  <si>
    <t xml:space="preserve">P-10 / U-10 (різні значення в аркушах)</t>
  </si>
  <si>
    <t xml:space="preserve">Автори запропонували різні числа (3 с / 500 мс; 2 хв / 3 хв).</t>
  </si>
  <si>
    <t xml:space="preserve">Обрано значення з аркуша Мукоїда Е. там, де вони збігаються з аркушем Андрущенка К.; числа йдуть у питання замовнику.</t>
  </si>
  <si>
    <t xml:space="preserve">Прийнято; питання замовнику</t>
  </si>
  <si>
    <t xml:space="preserve">Матриця розподілу розділів SRS для незалежного аудиту</t>
  </si>
  <si>
    <t xml:space="preserve">Кожен розділ SRS 1.0 «СтейНау» перевіряється щонайменше двома учасниками незалежно (п. 4.9 методички)</t>
  </si>
  <si>
    <t xml:space="preserve">№ розділу</t>
  </si>
  <si>
    <t xml:space="preserve">Назва розділу специфікації SRS</t>
  </si>
  <si>
    <t xml:space="preserve">Діапазон вимог</t>
  </si>
  <si>
    <t xml:space="preserve">Аудитор 1</t>
  </si>
  <si>
    <t xml:space="preserve">Аудитор 2</t>
  </si>
  <si>
    <t xml:space="preserve">Статус перевірки</t>
  </si>
  <si>
    <t xml:space="preserve">Розділ 1</t>
  </si>
  <si>
    <t xml:space="preserve">Вступ, терміни, посилання</t>
  </si>
  <si>
    <t xml:space="preserve">1.1–1.4</t>
  </si>
  <si>
    <t xml:space="preserve">Перевірено, дефекти зведено</t>
  </si>
  <si>
    <t xml:space="preserve">Розділ 2</t>
  </si>
  <si>
    <t xml:space="preserve">Загальний опис, ролі, обмеження</t>
  </si>
  <si>
    <t xml:space="preserve">2.1–2.3</t>
  </si>
  <si>
    <t xml:space="preserve">Розділ 3 (ч.1)</t>
  </si>
  <si>
    <t xml:space="preserve">Функціональні вимоги</t>
  </si>
  <si>
    <t xml:space="preserve">F-10 … F-70</t>
  </si>
  <si>
    <t xml:space="preserve">Розділ 3 (ч.2)</t>
  </si>
  <si>
    <t xml:space="preserve">F-80 … F-130</t>
  </si>
  <si>
    <t xml:space="preserve">Розділ 4</t>
  </si>
  <si>
    <t xml:space="preserve">Вимоги до інтерфейсу користувача (GUI)</t>
  </si>
  <si>
    <t xml:space="preserve">GUI-10 … GUI-90</t>
  </si>
  <si>
    <t xml:space="preserve">Розділ 5</t>
  </si>
  <si>
    <t xml:space="preserve">Вимоги до бізнес-логіки модуля</t>
  </si>
  <si>
    <t xml:space="preserve">BL-10 … BL-80</t>
  </si>
  <si>
    <t xml:space="preserve">Розділ 6</t>
  </si>
  <si>
    <t xml:space="preserve">Нефункціональні вимоги</t>
  </si>
  <si>
    <t xml:space="preserve">P-, S-, U-, D-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</si>
</sst>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F2F5F9"/>
        <bgColor rgb="FFFFFFFF"/>
      </patternFill>
    </fill>
    <fill>
      <patternFill patternType="solid">
        <fgColor rgb="FF2F5597"/>
        <bgColor rgb="FF1F4E7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45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09.5" hidden="false" customHeight="true" outlineLevel="0" collapsed="false">
      <c r="A5" s="4" t="n">
        <v>1</v>
      </c>
      <c r="B5" s="4" t="s">
        <v>9</v>
      </c>
      <c r="C5" s="4" t="s">
        <v>10</v>
      </c>
      <c r="D5" s="5" t="s">
        <v>11</v>
      </c>
      <c r="E5" s="5" t="s">
        <v>12</v>
      </c>
      <c r="F5" s="4" t="s">
        <v>13</v>
      </c>
      <c r="G5" s="4" t="s">
        <v>14</v>
      </c>
    </row>
    <row r="6" customFormat="false" ht="109.5" hidden="false" customHeight="true" outlineLevel="0" collapsed="false">
      <c r="A6" s="6" t="n">
        <v>2</v>
      </c>
      <c r="B6" s="6" t="s">
        <v>15</v>
      </c>
      <c r="C6" s="6" t="s">
        <v>16</v>
      </c>
      <c r="D6" s="7" t="s">
        <v>17</v>
      </c>
      <c r="E6" s="7" t="s">
        <v>18</v>
      </c>
      <c r="F6" s="6" t="s">
        <v>19</v>
      </c>
      <c r="G6" s="6" t="s">
        <v>20</v>
      </c>
    </row>
    <row r="7" customFormat="false" ht="109.5" hidden="false" customHeight="true" outlineLevel="0" collapsed="false">
      <c r="A7" s="4" t="n">
        <v>3</v>
      </c>
      <c r="B7" s="4" t="s">
        <v>21</v>
      </c>
      <c r="C7" s="4" t="s">
        <v>10</v>
      </c>
      <c r="D7" s="5" t="s">
        <v>22</v>
      </c>
      <c r="E7" s="5" t="s">
        <v>23</v>
      </c>
      <c r="F7" s="4" t="s">
        <v>19</v>
      </c>
      <c r="G7" s="4" t="s">
        <v>20</v>
      </c>
    </row>
    <row r="8" customFormat="false" ht="109.5" hidden="false" customHeight="true" outlineLevel="0" collapsed="false">
      <c r="A8" s="6" t="n">
        <v>4</v>
      </c>
      <c r="B8" s="6" t="s">
        <v>24</v>
      </c>
      <c r="C8" s="6" t="s">
        <v>25</v>
      </c>
      <c r="D8" s="7" t="s">
        <v>26</v>
      </c>
      <c r="E8" s="7" t="s">
        <v>27</v>
      </c>
      <c r="F8" s="6" t="s">
        <v>28</v>
      </c>
      <c r="G8" s="6" t="s">
        <v>14</v>
      </c>
    </row>
    <row r="9" customFormat="false" ht="109.5" hidden="false" customHeight="true" outlineLevel="0" collapsed="false">
      <c r="A9" s="4" t="n">
        <v>5</v>
      </c>
      <c r="B9" s="4" t="s">
        <v>29</v>
      </c>
      <c r="C9" s="4" t="s">
        <v>10</v>
      </c>
      <c r="D9" s="5" t="s">
        <v>30</v>
      </c>
      <c r="E9" s="5" t="s">
        <v>31</v>
      </c>
      <c r="F9" s="4" t="s">
        <v>28</v>
      </c>
      <c r="G9" s="4" t="s">
        <v>20</v>
      </c>
    </row>
    <row r="10" customFormat="false" ht="109.5" hidden="false" customHeight="true" outlineLevel="0" collapsed="false">
      <c r="A10" s="6" t="n">
        <v>6</v>
      </c>
      <c r="B10" s="6" t="s">
        <v>32</v>
      </c>
      <c r="C10" s="6" t="s">
        <v>33</v>
      </c>
      <c r="D10" s="7" t="s">
        <v>34</v>
      </c>
      <c r="E10" s="7" t="s">
        <v>35</v>
      </c>
      <c r="F10" s="6" t="s">
        <v>36</v>
      </c>
      <c r="G10" s="6" t="s">
        <v>14</v>
      </c>
    </row>
    <row r="11" customFormat="false" ht="109.5" hidden="false" customHeight="true" outlineLevel="0" collapsed="false">
      <c r="A11" s="4" t="n">
        <v>7</v>
      </c>
      <c r="B11" s="4" t="s">
        <v>37</v>
      </c>
      <c r="C11" s="4" t="s">
        <v>38</v>
      </c>
      <c r="D11" s="5" t="s">
        <v>39</v>
      </c>
      <c r="E11" s="5" t="s">
        <v>40</v>
      </c>
      <c r="F11" s="4" t="s">
        <v>28</v>
      </c>
      <c r="G11" s="4" t="s">
        <v>20</v>
      </c>
    </row>
    <row r="12" customFormat="false" ht="109.5" hidden="false" customHeight="true" outlineLevel="0" collapsed="false">
      <c r="A12" s="6" t="n">
        <v>8</v>
      </c>
      <c r="B12" s="6" t="s">
        <v>41</v>
      </c>
      <c r="C12" s="6" t="s">
        <v>33</v>
      </c>
      <c r="D12" s="7" t="s">
        <v>42</v>
      </c>
      <c r="E12" s="7" t="s">
        <v>43</v>
      </c>
      <c r="F12" s="6" t="s">
        <v>36</v>
      </c>
      <c r="G12" s="6" t="s">
        <v>14</v>
      </c>
    </row>
    <row r="13" customFormat="false" ht="109.5" hidden="false" customHeight="true" outlineLevel="0" collapsed="false">
      <c r="A13" s="4" t="n">
        <v>9</v>
      </c>
      <c r="B13" s="4" t="s">
        <v>44</v>
      </c>
      <c r="C13" s="4" t="s">
        <v>10</v>
      </c>
      <c r="D13" s="5" t="s">
        <v>45</v>
      </c>
      <c r="E13" s="5" t="s">
        <v>46</v>
      </c>
      <c r="F13" s="4" t="s">
        <v>36</v>
      </c>
      <c r="G13" s="4" t="s">
        <v>20</v>
      </c>
    </row>
    <row r="14" customFormat="false" ht="109.5" hidden="false" customHeight="true" outlineLevel="0" collapsed="false">
      <c r="A14" s="6" t="n">
        <v>10</v>
      </c>
      <c r="B14" s="6" t="s">
        <v>47</v>
      </c>
      <c r="C14" s="6" t="s">
        <v>48</v>
      </c>
      <c r="D14" s="7" t="s">
        <v>49</v>
      </c>
      <c r="E14" s="7" t="s">
        <v>50</v>
      </c>
      <c r="F14" s="6" t="s">
        <v>51</v>
      </c>
      <c r="G14" s="6" t="s">
        <v>14</v>
      </c>
    </row>
    <row r="15" customFormat="false" ht="109.5" hidden="false" customHeight="true" outlineLevel="0" collapsed="false">
      <c r="A15" s="4" t="n">
        <v>11</v>
      </c>
      <c r="B15" s="4" t="s">
        <v>52</v>
      </c>
      <c r="C15" s="4" t="s">
        <v>33</v>
      </c>
      <c r="D15" s="5" t="s">
        <v>53</v>
      </c>
      <c r="E15" s="5" t="s">
        <v>54</v>
      </c>
      <c r="F15" s="4" t="s">
        <v>36</v>
      </c>
      <c r="G15" s="4" t="s">
        <v>14</v>
      </c>
    </row>
    <row r="16" customFormat="false" ht="109.5" hidden="false" customHeight="true" outlineLevel="0" collapsed="false">
      <c r="A16" s="6" t="n">
        <v>12</v>
      </c>
      <c r="B16" s="6" t="s">
        <v>55</v>
      </c>
      <c r="C16" s="6" t="s">
        <v>16</v>
      </c>
      <c r="D16" s="7" t="s">
        <v>56</v>
      </c>
      <c r="E16" s="7" t="s">
        <v>57</v>
      </c>
      <c r="F16" s="6" t="s">
        <v>36</v>
      </c>
      <c r="G16" s="6" t="s">
        <v>14</v>
      </c>
    </row>
    <row r="17" customFormat="false" ht="109.5" hidden="false" customHeight="true" outlineLevel="0" collapsed="false">
      <c r="A17" s="4" t="n">
        <v>13</v>
      </c>
      <c r="B17" s="4" t="s">
        <v>58</v>
      </c>
      <c r="C17" s="4" t="s">
        <v>33</v>
      </c>
      <c r="D17" s="5" t="s">
        <v>59</v>
      </c>
      <c r="E17" s="5" t="s">
        <v>60</v>
      </c>
      <c r="F17" s="4" t="s">
        <v>36</v>
      </c>
      <c r="G17" s="4" t="s">
        <v>14</v>
      </c>
    </row>
    <row r="18" customFormat="false" ht="109.5" hidden="false" customHeight="true" outlineLevel="0" collapsed="false">
      <c r="A18" s="6" t="n">
        <v>14</v>
      </c>
      <c r="B18" s="6" t="s">
        <v>61</v>
      </c>
      <c r="C18" s="6" t="s">
        <v>25</v>
      </c>
      <c r="D18" s="7" t="s">
        <v>62</v>
      </c>
      <c r="E18" s="7" t="s">
        <v>63</v>
      </c>
      <c r="F18" s="6" t="s">
        <v>36</v>
      </c>
      <c r="G18" s="6" t="s">
        <v>14</v>
      </c>
    </row>
    <row r="19" customFormat="false" ht="109.5" hidden="false" customHeight="true" outlineLevel="0" collapsed="false">
      <c r="A19" s="4" t="n">
        <v>15</v>
      </c>
      <c r="B19" s="4" t="s">
        <v>64</v>
      </c>
      <c r="C19" s="4" t="s">
        <v>38</v>
      </c>
      <c r="D19" s="5" t="s">
        <v>65</v>
      </c>
      <c r="E19" s="5" t="s">
        <v>66</v>
      </c>
      <c r="F19" s="4" t="s">
        <v>36</v>
      </c>
      <c r="G19" s="4" t="s">
        <v>14</v>
      </c>
    </row>
    <row r="20" customFormat="false" ht="109.5" hidden="false" customHeight="true" outlineLevel="0" collapsed="false">
      <c r="A20" s="6" t="n">
        <v>16</v>
      </c>
      <c r="B20" s="6" t="s">
        <v>67</v>
      </c>
      <c r="C20" s="6" t="s">
        <v>48</v>
      </c>
      <c r="D20" s="7" t="s">
        <v>68</v>
      </c>
      <c r="E20" s="7" t="s">
        <v>69</v>
      </c>
      <c r="F20" s="6" t="s">
        <v>19</v>
      </c>
      <c r="G20" s="6" t="s">
        <v>14</v>
      </c>
    </row>
    <row r="21" customFormat="false" ht="109.5" hidden="false" customHeight="true" outlineLevel="0" collapsed="false">
      <c r="A21" s="4" t="n">
        <v>17</v>
      </c>
      <c r="B21" s="4" t="s">
        <v>67</v>
      </c>
      <c r="C21" s="4" t="s">
        <v>48</v>
      </c>
      <c r="D21" s="5" t="s">
        <v>70</v>
      </c>
      <c r="E21" s="5" t="s">
        <v>71</v>
      </c>
      <c r="F21" s="4" t="s">
        <v>51</v>
      </c>
      <c r="G21" s="4" t="s">
        <v>20</v>
      </c>
    </row>
    <row r="22" customFormat="false" ht="109.5" hidden="false" customHeight="true" outlineLevel="0" collapsed="false">
      <c r="A22" s="6" t="n">
        <v>18</v>
      </c>
      <c r="B22" s="6" t="s">
        <v>72</v>
      </c>
      <c r="C22" s="6" t="s">
        <v>10</v>
      </c>
      <c r="D22" s="7" t="s">
        <v>73</v>
      </c>
      <c r="E22" s="7" t="s">
        <v>74</v>
      </c>
      <c r="F22" s="6" t="s">
        <v>51</v>
      </c>
      <c r="G22" s="6" t="s">
        <v>20</v>
      </c>
    </row>
    <row r="23" customFormat="false" ht="109.5" hidden="false" customHeight="true" outlineLevel="0" collapsed="false">
      <c r="A23" s="4" t="n">
        <v>19</v>
      </c>
      <c r="B23" s="4" t="s">
        <v>75</v>
      </c>
      <c r="C23" s="4" t="s">
        <v>25</v>
      </c>
      <c r="D23" s="5" t="s">
        <v>76</v>
      </c>
      <c r="E23" s="5" t="s">
        <v>77</v>
      </c>
      <c r="F23" s="4" t="s">
        <v>51</v>
      </c>
      <c r="G23" s="4" t="s">
        <v>14</v>
      </c>
    </row>
    <row r="24" customFormat="false" ht="109.5" hidden="false" customHeight="true" outlineLevel="0" collapsed="false">
      <c r="A24" s="6" t="n">
        <v>20</v>
      </c>
      <c r="B24" s="6" t="s">
        <v>78</v>
      </c>
      <c r="C24" s="6" t="s">
        <v>38</v>
      </c>
      <c r="D24" s="7" t="s">
        <v>79</v>
      </c>
      <c r="E24" s="7" t="s">
        <v>80</v>
      </c>
      <c r="F24" s="6" t="s">
        <v>51</v>
      </c>
      <c r="G24" s="6" t="s">
        <v>20</v>
      </c>
    </row>
    <row r="25" customFormat="false" ht="109.5" hidden="false" customHeight="true" outlineLevel="0" collapsed="false">
      <c r="A25" s="4" t="n">
        <v>21</v>
      </c>
      <c r="B25" s="4" t="s">
        <v>81</v>
      </c>
      <c r="C25" s="4" t="s">
        <v>16</v>
      </c>
      <c r="D25" s="5" t="s">
        <v>82</v>
      </c>
      <c r="E25" s="5" t="s">
        <v>83</v>
      </c>
      <c r="F25" s="4" t="s">
        <v>84</v>
      </c>
      <c r="G25" s="4" t="s">
        <v>20</v>
      </c>
    </row>
    <row r="26" customFormat="false" ht="109.5" hidden="false" customHeight="true" outlineLevel="0" collapsed="false">
      <c r="A26" s="6" t="n">
        <v>22</v>
      </c>
      <c r="B26" s="6" t="s">
        <v>85</v>
      </c>
      <c r="C26" s="6" t="s">
        <v>38</v>
      </c>
      <c r="D26" s="7" t="s">
        <v>86</v>
      </c>
      <c r="E26" s="7" t="s">
        <v>87</v>
      </c>
      <c r="F26" s="6" t="s">
        <v>51</v>
      </c>
      <c r="G26" s="6" t="s">
        <v>14</v>
      </c>
    </row>
    <row r="27" customFormat="false" ht="109.5" hidden="false" customHeight="true" outlineLevel="0" collapsed="false">
      <c r="A27" s="4" t="n">
        <v>23</v>
      </c>
      <c r="B27" s="4" t="s">
        <v>88</v>
      </c>
      <c r="C27" s="4" t="s">
        <v>16</v>
      </c>
      <c r="D27" s="5" t="s">
        <v>89</v>
      </c>
      <c r="E27" s="5" t="s">
        <v>90</v>
      </c>
      <c r="F27" s="4" t="s">
        <v>51</v>
      </c>
      <c r="G27" s="4" t="s">
        <v>20</v>
      </c>
    </row>
    <row r="28" customFormat="false" ht="109.5" hidden="false" customHeight="true" outlineLevel="0" collapsed="false">
      <c r="A28" s="6" t="n">
        <v>24</v>
      </c>
      <c r="B28" s="6" t="s">
        <v>91</v>
      </c>
      <c r="C28" s="6" t="s">
        <v>48</v>
      </c>
      <c r="D28" s="7" t="s">
        <v>92</v>
      </c>
      <c r="E28" s="7" t="s">
        <v>93</v>
      </c>
      <c r="F28" s="6" t="s">
        <v>84</v>
      </c>
      <c r="G28" s="6" t="s">
        <v>14</v>
      </c>
    </row>
    <row r="29" customFormat="false" ht="109.5" hidden="false" customHeight="true" outlineLevel="0" collapsed="false">
      <c r="A29" s="4" t="n">
        <v>25</v>
      </c>
      <c r="B29" s="4" t="s">
        <v>94</v>
      </c>
      <c r="C29" s="4" t="s">
        <v>48</v>
      </c>
      <c r="D29" s="5" t="s">
        <v>95</v>
      </c>
      <c r="E29" s="5" t="s">
        <v>96</v>
      </c>
      <c r="F29" s="4" t="s">
        <v>84</v>
      </c>
      <c r="G29" s="4" t="s">
        <v>20</v>
      </c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8"/>
      <c r="B31" s="8"/>
      <c r="C31" s="9" t="s">
        <v>97</v>
      </c>
      <c r="D31" s="8"/>
      <c r="E31" s="8"/>
      <c r="F31" s="8"/>
      <c r="G31" s="8"/>
    </row>
    <row r="32" customFormat="false" ht="15" hidden="false" customHeight="false" outlineLevel="0" collapsed="false">
      <c r="A32" s="8"/>
      <c r="B32" s="8"/>
      <c r="C32" s="10" t="s">
        <v>10</v>
      </c>
      <c r="D32" s="11" t="n">
        <f aca="false">COUNTIF($C$5:$C$29,C32)</f>
        <v>5</v>
      </c>
      <c r="E32" s="8"/>
      <c r="F32" s="8"/>
      <c r="G32" s="8"/>
    </row>
    <row r="33" customFormat="false" ht="15" hidden="false" customHeight="false" outlineLevel="0" collapsed="false">
      <c r="A33" s="8"/>
      <c r="B33" s="8"/>
      <c r="C33" s="10" t="s">
        <v>48</v>
      </c>
      <c r="D33" s="11" t="n">
        <f aca="false">COUNTIF($C$5:$C$29,C33)</f>
        <v>5</v>
      </c>
      <c r="E33" s="8"/>
      <c r="F33" s="8"/>
      <c r="G33" s="8"/>
    </row>
    <row r="34" customFormat="false" ht="15" hidden="false" customHeight="false" outlineLevel="0" collapsed="false">
      <c r="A34" s="8"/>
      <c r="B34" s="8"/>
      <c r="C34" s="10" t="s">
        <v>33</v>
      </c>
      <c r="D34" s="11" t="n">
        <f aca="false">COUNTIF($C$5:$C$29,C34)</f>
        <v>4</v>
      </c>
      <c r="E34" s="8"/>
      <c r="F34" s="8"/>
      <c r="G34" s="8"/>
    </row>
    <row r="35" customFormat="false" ht="15" hidden="false" customHeight="false" outlineLevel="0" collapsed="false">
      <c r="A35" s="8"/>
      <c r="B35" s="8"/>
      <c r="C35" s="10" t="s">
        <v>25</v>
      </c>
      <c r="D35" s="11" t="n">
        <f aca="false">COUNTIF($C$5:$C$29,C35)</f>
        <v>3</v>
      </c>
      <c r="E35" s="8"/>
      <c r="F35" s="8"/>
      <c r="G35" s="8"/>
    </row>
    <row r="36" customFormat="false" ht="15" hidden="false" customHeight="false" outlineLevel="0" collapsed="false">
      <c r="A36" s="8"/>
      <c r="B36" s="8"/>
      <c r="C36" s="10" t="s">
        <v>38</v>
      </c>
      <c r="D36" s="11" t="n">
        <f aca="false">COUNTIF($C$5:$C$29,C36)</f>
        <v>4</v>
      </c>
      <c r="E36" s="8"/>
      <c r="F36" s="8"/>
      <c r="G36" s="8"/>
    </row>
    <row r="37" customFormat="false" ht="15" hidden="false" customHeight="false" outlineLevel="0" collapsed="false">
      <c r="A37" s="8"/>
      <c r="B37" s="8"/>
      <c r="C37" s="10" t="s">
        <v>16</v>
      </c>
      <c r="D37" s="11" t="n">
        <f aca="false">COUNTIF($C$5:$C$29,C37)</f>
        <v>4</v>
      </c>
      <c r="E37" s="8"/>
      <c r="F37" s="8"/>
      <c r="G37" s="8"/>
    </row>
    <row r="38" customFormat="false" ht="15" hidden="false" customHeight="false" outlineLevel="0" collapsed="false">
      <c r="A38" s="8"/>
      <c r="B38" s="8"/>
      <c r="C38" s="9" t="s">
        <v>98</v>
      </c>
      <c r="D38" s="12" t="n">
        <f aca="false">COUNTA($B$5:$B$29)</f>
        <v>25</v>
      </c>
      <c r="E38" s="8"/>
      <c r="F38" s="8"/>
      <c r="G38" s="8"/>
    </row>
    <row r="39" customFormat="false" ht="15" hidden="false" customHeight="false" outlineLevel="0" collapsed="false">
      <c r="A39" s="8"/>
      <c r="B39" s="8"/>
      <c r="C39" s="13" t="s">
        <v>99</v>
      </c>
      <c r="D39" s="8"/>
      <c r="E39" s="8"/>
      <c r="F39" s="8"/>
      <c r="G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5" min="3" style="0" width="38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27.75" hidden="false" customHeight="true" outlineLevel="0" collapsed="false">
      <c r="A4" s="14" t="s">
        <v>102</v>
      </c>
      <c r="B4" s="14" t="s">
        <v>103</v>
      </c>
      <c r="C4" s="14" t="s">
        <v>104</v>
      </c>
      <c r="D4" s="14" t="s">
        <v>105</v>
      </c>
      <c r="E4" s="14" t="s">
        <v>106</v>
      </c>
    </row>
    <row r="5" customFormat="false" ht="94.5" hidden="false" customHeight="true" outlineLevel="0" collapsed="false">
      <c r="A5" s="5" t="s">
        <v>107</v>
      </c>
      <c r="B5" s="5" t="s">
        <v>108</v>
      </c>
      <c r="C5" s="5" t="s">
        <v>109</v>
      </c>
      <c r="D5" s="5" t="s">
        <v>110</v>
      </c>
      <c r="E5" s="5" t="s">
        <v>111</v>
      </c>
    </row>
    <row r="6" customFormat="false" ht="94.5" hidden="false" customHeight="true" outlineLevel="0" collapsed="false">
      <c r="A6" s="7" t="s">
        <v>112</v>
      </c>
      <c r="B6" s="7" t="s">
        <v>108</v>
      </c>
      <c r="C6" s="7" t="s">
        <v>113</v>
      </c>
      <c r="D6" s="7" t="s">
        <v>110</v>
      </c>
      <c r="E6" s="7" t="s">
        <v>111</v>
      </c>
    </row>
    <row r="7" customFormat="false" ht="94.5" hidden="false" customHeight="true" outlineLevel="0" collapsed="false">
      <c r="A7" s="5" t="s">
        <v>114</v>
      </c>
      <c r="B7" s="5" t="s">
        <v>108</v>
      </c>
      <c r="C7" s="5" t="s">
        <v>115</v>
      </c>
      <c r="D7" s="5" t="s">
        <v>110</v>
      </c>
      <c r="E7" s="5" t="s">
        <v>111</v>
      </c>
    </row>
    <row r="8" customFormat="false" ht="94.5" hidden="false" customHeight="true" outlineLevel="0" collapsed="false">
      <c r="A8" s="7" t="s">
        <v>116</v>
      </c>
      <c r="B8" s="7" t="s">
        <v>108</v>
      </c>
      <c r="C8" s="7" t="s">
        <v>117</v>
      </c>
      <c r="D8" s="7" t="s">
        <v>110</v>
      </c>
      <c r="E8" s="7" t="s">
        <v>111</v>
      </c>
    </row>
    <row r="9" customFormat="false" ht="94.5" hidden="false" customHeight="true" outlineLevel="0" collapsed="false">
      <c r="A9" s="5" t="s">
        <v>118</v>
      </c>
      <c r="B9" s="5" t="s">
        <v>108</v>
      </c>
      <c r="C9" s="5" t="s">
        <v>119</v>
      </c>
      <c r="D9" s="5" t="s">
        <v>110</v>
      </c>
      <c r="E9" s="5" t="s">
        <v>111</v>
      </c>
    </row>
    <row r="10" customFormat="false" ht="94.5" hidden="false" customHeight="true" outlineLevel="0" collapsed="false">
      <c r="A10" s="7" t="s">
        <v>120</v>
      </c>
      <c r="B10" s="7" t="s">
        <v>108</v>
      </c>
      <c r="C10" s="7" t="s">
        <v>121</v>
      </c>
      <c r="D10" s="7" t="s">
        <v>110</v>
      </c>
      <c r="E10" s="7" t="s">
        <v>111</v>
      </c>
    </row>
    <row r="11" customFormat="false" ht="94.5" hidden="false" customHeight="true" outlineLevel="0" collapsed="false">
      <c r="A11" s="5" t="s">
        <v>122</v>
      </c>
      <c r="B11" s="5" t="s">
        <v>123</v>
      </c>
      <c r="C11" s="5" t="s">
        <v>124</v>
      </c>
      <c r="D11" s="5" t="s">
        <v>125</v>
      </c>
      <c r="E11" s="5" t="s">
        <v>126</v>
      </c>
    </row>
    <row r="12" customFormat="false" ht="94.5" hidden="false" customHeight="true" outlineLevel="0" collapsed="false">
      <c r="A12" s="7" t="s">
        <v>127</v>
      </c>
      <c r="B12" s="7" t="s">
        <v>108</v>
      </c>
      <c r="C12" s="7" t="s">
        <v>128</v>
      </c>
      <c r="D12" s="7" t="s">
        <v>129</v>
      </c>
      <c r="E12" s="7" t="s">
        <v>130</v>
      </c>
    </row>
    <row r="13" customFormat="false" ht="94.5" hidden="false" customHeight="true" outlineLevel="0" collapsed="false">
      <c r="A13" s="5" t="s">
        <v>131</v>
      </c>
      <c r="B13" s="5" t="s">
        <v>132</v>
      </c>
      <c r="C13" s="5" t="s">
        <v>133</v>
      </c>
      <c r="D13" s="5" t="s">
        <v>110</v>
      </c>
      <c r="E13" s="5" t="s">
        <v>134</v>
      </c>
    </row>
    <row r="14" customFormat="false" ht="94.5" hidden="false" customHeight="true" outlineLevel="0" collapsed="false">
      <c r="A14" s="7" t="s">
        <v>135</v>
      </c>
      <c r="B14" s="7" t="s">
        <v>28</v>
      </c>
      <c r="C14" s="7" t="s">
        <v>136</v>
      </c>
      <c r="D14" s="7" t="s">
        <v>137</v>
      </c>
      <c r="E14" s="7" t="s">
        <v>138</v>
      </c>
    </row>
    <row r="15" customFormat="false" ht="94.5" hidden="false" customHeight="true" outlineLevel="0" collapsed="false">
      <c r="A15" s="5" t="s">
        <v>139</v>
      </c>
      <c r="B15" s="5" t="s">
        <v>36</v>
      </c>
      <c r="C15" s="5" t="s">
        <v>140</v>
      </c>
      <c r="D15" s="5" t="s">
        <v>141</v>
      </c>
      <c r="E15" s="5" t="s">
        <v>142</v>
      </c>
    </row>
    <row r="16" customFormat="false" ht="94.5" hidden="false" customHeight="true" outlineLevel="0" collapsed="false">
      <c r="A16" s="7" t="s">
        <v>143</v>
      </c>
      <c r="B16" s="7" t="s">
        <v>51</v>
      </c>
      <c r="C16" s="7" t="s">
        <v>144</v>
      </c>
      <c r="D16" s="7" t="s">
        <v>145</v>
      </c>
      <c r="E16" s="7" t="s">
        <v>146</v>
      </c>
    </row>
    <row r="17" customFormat="false" ht="15" hidden="false" customHeight="false" outlineLevel="0" collapsed="false">
      <c r="A17" s="8"/>
      <c r="B17" s="8"/>
      <c r="C17" s="8"/>
      <c r="D17" s="8"/>
      <c r="E17" s="8"/>
    </row>
    <row r="18" customFormat="false" ht="15" hidden="false" customHeight="false" outlineLevel="0" collapsed="false">
      <c r="A18" s="8"/>
      <c r="B18" s="8"/>
      <c r="C18" s="8"/>
      <c r="D18" s="8"/>
      <c r="E18" s="8"/>
    </row>
    <row r="19" customFormat="false" ht="15" hidden="false" customHeight="false" outlineLevel="0" collapsed="false">
      <c r="A19" s="8"/>
      <c r="B19" s="8"/>
      <c r="C19" s="8"/>
      <c r="D19" s="8"/>
      <c r="E19" s="8"/>
    </row>
    <row r="20" customFormat="false" ht="15" hidden="false" customHeight="false" outlineLevel="0" collapsed="false">
      <c r="A20" s="8"/>
      <c r="B20" s="8"/>
      <c r="C20" s="8"/>
      <c r="D20" s="8"/>
      <c r="E20" s="8"/>
    </row>
    <row r="21" customFormat="false" ht="15" hidden="false" customHeight="false" outlineLevel="0" collapsed="false">
      <c r="A21" s="8"/>
      <c r="B21" s="8"/>
      <c r="C21" s="8"/>
      <c r="D21" s="8"/>
      <c r="E21" s="8"/>
    </row>
    <row r="22" customFormat="false" ht="15" hidden="false" customHeight="false" outlineLevel="0" collapsed="false">
      <c r="A22" s="8"/>
      <c r="B22" s="8"/>
      <c r="C22" s="8"/>
      <c r="D22" s="8"/>
      <c r="E22" s="8"/>
    </row>
    <row r="23" customFormat="false" ht="15" hidden="false" customHeight="false" outlineLevel="0" collapsed="false">
      <c r="A23" s="8"/>
      <c r="B23" s="8"/>
      <c r="C23" s="8"/>
      <c r="D23" s="8"/>
      <c r="E23" s="8"/>
    </row>
    <row r="24" customFormat="false" ht="15" hidden="false" customHeight="false" outlineLevel="0" collapsed="false">
      <c r="A24" s="8"/>
      <c r="B24" s="8"/>
      <c r="C24" s="8"/>
      <c r="D24" s="8"/>
      <c r="E24" s="8"/>
    </row>
    <row r="25" customFormat="false" ht="15" hidden="false" customHeight="false" outlineLevel="0" collapsed="false">
      <c r="A25" s="8"/>
      <c r="B25" s="8"/>
      <c r="C25" s="8"/>
      <c r="D25" s="8"/>
      <c r="E25" s="8"/>
    </row>
    <row r="26" customFormat="false" ht="15" hidden="false" customHeight="false" outlineLevel="0" collapsed="false">
      <c r="A26" s="8"/>
      <c r="B26" s="8"/>
      <c r="C26" s="8"/>
      <c r="D26" s="8"/>
      <c r="E26" s="8"/>
    </row>
    <row r="27" customFormat="false" ht="15" hidden="false" customHeight="false" outlineLevel="0" collapsed="false">
      <c r="A27" s="8"/>
      <c r="B27" s="8"/>
      <c r="C27" s="8"/>
      <c r="D27" s="8"/>
      <c r="E27" s="8"/>
    </row>
    <row r="28" customFormat="false" ht="15" hidden="false" customHeight="false" outlineLevel="0" collapsed="false">
      <c r="A28" s="8"/>
      <c r="B28" s="8"/>
      <c r="C28" s="8"/>
      <c r="D28" s="8"/>
      <c r="E28" s="8"/>
    </row>
    <row r="29" customFormat="false" ht="15" hidden="false" customHeight="false" outlineLevel="0" collapsed="false">
      <c r="A29" s="8"/>
      <c r="B29" s="8"/>
      <c r="C29" s="8"/>
      <c r="D29" s="8"/>
      <c r="E29" s="8"/>
    </row>
    <row r="30" customFormat="false" ht="15" hidden="false" customHeight="false" outlineLevel="0" collapsed="false">
      <c r="A30" s="8"/>
      <c r="B30" s="8"/>
      <c r="C30" s="8"/>
      <c r="D30" s="8"/>
      <c r="E30" s="8"/>
    </row>
    <row r="31" customFormat="false" ht="15" hidden="false" customHeight="false" outlineLevel="0" collapsed="false">
      <c r="A31" s="8"/>
      <c r="B31" s="8"/>
      <c r="C31" s="8"/>
      <c r="D31" s="8"/>
      <c r="E31" s="8"/>
    </row>
    <row r="32" customFormat="false" ht="15" hidden="false" customHeight="false" outlineLevel="0" collapsed="false">
      <c r="A32" s="8"/>
      <c r="B32" s="8"/>
      <c r="C32" s="8"/>
      <c r="D32" s="8"/>
      <c r="E32" s="8"/>
    </row>
    <row r="33" customFormat="false" ht="15" hidden="false" customHeight="false" outlineLevel="0" collapsed="false">
      <c r="A33" s="8"/>
      <c r="B33" s="8"/>
      <c r="C33" s="8"/>
      <c r="D33" s="8"/>
      <c r="E33" s="8"/>
    </row>
    <row r="34" customFormat="false" ht="15" hidden="false" customHeight="false" outlineLevel="0" collapsed="false">
      <c r="A34" s="8"/>
      <c r="B34" s="8"/>
      <c r="C34" s="8"/>
      <c r="D34" s="8"/>
      <c r="E34" s="8"/>
    </row>
    <row r="35" customFormat="false" ht="15" hidden="false" customHeight="false" outlineLevel="0" collapsed="false">
      <c r="A35" s="8"/>
      <c r="B35" s="8"/>
      <c r="C35" s="8"/>
      <c r="D35" s="8"/>
      <c r="E35" s="8"/>
    </row>
    <row r="36" customFormat="false" ht="15" hidden="false" customHeight="false" outlineLevel="0" collapsed="false">
      <c r="A36" s="8"/>
      <c r="B36" s="8"/>
      <c r="C36" s="8"/>
      <c r="D36" s="8"/>
      <c r="E36" s="8"/>
    </row>
    <row r="37" customFormat="false" ht="15" hidden="false" customHeight="false" outlineLevel="0" collapsed="false">
      <c r="A37" s="8"/>
      <c r="B37" s="8"/>
      <c r="C37" s="8"/>
      <c r="D37" s="8"/>
      <c r="E37" s="8"/>
    </row>
    <row r="38" customFormat="false" ht="15" hidden="false" customHeight="false" outlineLevel="0" collapsed="false">
      <c r="A38" s="8"/>
      <c r="B38" s="8"/>
      <c r="C38" s="8"/>
      <c r="D38" s="8"/>
      <c r="E38" s="8"/>
    </row>
    <row r="39" customFormat="false" ht="15" hidden="false" customHeight="false" outlineLevel="0" collapsed="false">
      <c r="A39" s="8"/>
      <c r="B39" s="8"/>
      <c r="C39" s="8"/>
      <c r="D39" s="8"/>
      <c r="E3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25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4" customFormat="false" ht="27.75" hidden="false" customHeight="true" outlineLevel="0" collapsed="false">
      <c r="A4" s="3" t="s">
        <v>149</v>
      </c>
      <c r="B4" s="3" t="s">
        <v>150</v>
      </c>
      <c r="C4" s="3" t="s">
        <v>151</v>
      </c>
      <c r="D4" s="3" t="s">
        <v>152</v>
      </c>
      <c r="E4" s="3" t="s">
        <v>153</v>
      </c>
      <c r="F4" s="3" t="s">
        <v>154</v>
      </c>
    </row>
    <row r="5" customFormat="false" ht="25.5" hidden="false" customHeight="true" outlineLevel="0" collapsed="false">
      <c r="A5" s="5" t="s">
        <v>155</v>
      </c>
      <c r="B5" s="5" t="s">
        <v>156</v>
      </c>
      <c r="C5" s="5" t="s">
        <v>157</v>
      </c>
      <c r="D5" s="5" t="s">
        <v>13</v>
      </c>
      <c r="E5" s="5" t="s">
        <v>28</v>
      </c>
      <c r="F5" s="5" t="s">
        <v>158</v>
      </c>
    </row>
    <row r="6" customFormat="false" ht="25.5" hidden="false" customHeight="true" outlineLevel="0" collapsed="false">
      <c r="A6" s="7" t="s">
        <v>159</v>
      </c>
      <c r="B6" s="7" t="s">
        <v>160</v>
      </c>
      <c r="C6" s="7" t="s">
        <v>161</v>
      </c>
      <c r="D6" s="7" t="s">
        <v>13</v>
      </c>
      <c r="E6" s="7" t="s">
        <v>19</v>
      </c>
      <c r="F6" s="7" t="s">
        <v>158</v>
      </c>
    </row>
    <row r="7" customFormat="false" ht="25.5" hidden="false" customHeight="true" outlineLevel="0" collapsed="false">
      <c r="A7" s="5" t="s">
        <v>162</v>
      </c>
      <c r="B7" s="5" t="s">
        <v>163</v>
      </c>
      <c r="C7" s="5" t="s">
        <v>164</v>
      </c>
      <c r="D7" s="5" t="s">
        <v>13</v>
      </c>
      <c r="E7" s="5" t="s">
        <v>19</v>
      </c>
      <c r="F7" s="5" t="s">
        <v>158</v>
      </c>
    </row>
    <row r="8" customFormat="false" ht="25.5" hidden="false" customHeight="true" outlineLevel="0" collapsed="false">
      <c r="A8" s="7" t="s">
        <v>165</v>
      </c>
      <c r="B8" s="7" t="s">
        <v>163</v>
      </c>
      <c r="C8" s="7" t="s">
        <v>166</v>
      </c>
      <c r="D8" s="7" t="s">
        <v>28</v>
      </c>
      <c r="E8" s="7" t="s">
        <v>13</v>
      </c>
      <c r="F8" s="7" t="s">
        <v>158</v>
      </c>
    </row>
    <row r="9" customFormat="false" ht="25.5" hidden="false" customHeight="true" outlineLevel="0" collapsed="false">
      <c r="A9" s="5" t="s">
        <v>167</v>
      </c>
      <c r="B9" s="5" t="s">
        <v>168</v>
      </c>
      <c r="C9" s="5" t="s">
        <v>169</v>
      </c>
      <c r="D9" s="5" t="s">
        <v>28</v>
      </c>
      <c r="E9" s="5" t="s">
        <v>13</v>
      </c>
      <c r="F9" s="5" t="s">
        <v>158</v>
      </c>
    </row>
    <row r="10" customFormat="false" ht="25.5" hidden="false" customHeight="true" outlineLevel="0" collapsed="false">
      <c r="A10" s="7" t="s">
        <v>170</v>
      </c>
      <c r="B10" s="7" t="s">
        <v>171</v>
      </c>
      <c r="C10" s="7" t="s">
        <v>172</v>
      </c>
      <c r="D10" s="7" t="s">
        <v>19</v>
      </c>
      <c r="E10" s="7" t="s">
        <v>13</v>
      </c>
      <c r="F10" s="7" t="s">
        <v>158</v>
      </c>
    </row>
    <row r="11" customFormat="false" ht="25.5" hidden="false" customHeight="true" outlineLevel="0" collapsed="false">
      <c r="A11" s="5" t="s">
        <v>173</v>
      </c>
      <c r="B11" s="5" t="s">
        <v>174</v>
      </c>
      <c r="C11" s="5" t="s">
        <v>175</v>
      </c>
      <c r="D11" s="5" t="s">
        <v>19</v>
      </c>
      <c r="E11" s="5" t="s">
        <v>28</v>
      </c>
      <c r="F11" s="5" t="s">
        <v>158</v>
      </c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2026-10-11T20:31:36Z</dcterms:created>
  <dc:creator>openpyxl</dc:creator>
  <dc:description/>
  <dc:language>en-US</dc:language>
  <cp:lastModifiedBy/>
  <dcterms:modified xsi:type="dcterms:W3CDTF">2026-10-13T06:49:06Z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