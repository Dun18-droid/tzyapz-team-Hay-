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Environmen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b val="1"/>
      <color theme="1"/>
      <sz val="13"/>
    </font>
    <font>
      <name val="Arial"/>
      <charset val="204"/>
      <family val="0"/>
      <i val="1"/>
      <color theme="1"/>
      <sz val="10"/>
    </font>
    <font>
      <name val="Arial"/>
      <charset val="204"/>
      <family val="0"/>
      <b val="1"/>
      <color theme="1"/>
      <sz val="11"/>
    </font>
    <font>
      <name val="Arial"/>
      <charset val="204"/>
      <family val="0"/>
      <color theme="1"/>
      <sz val="10"/>
    </font>
    <font>
      <name val="Arial"/>
      <charset val="204"/>
      <family val="0"/>
      <b val="1"/>
      <color theme="1"/>
      <sz val="10"/>
    </font>
    <font>
      <name val="Arial"/>
      <charset val="204"/>
      <family val="0"/>
      <b val="1"/>
      <color theme="1"/>
      <sz val="11"/>
    </font>
    <font>
      <name val="Arial"/>
      <charset val="204"/>
      <family val="0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" fillId="0" borderId="1" applyAlignment="1" pivotButton="0" quotePrefix="0" xfId="0">
      <alignment horizontal="general" vertical="top" wrapText="1"/>
    </xf>
    <xf numFmtId="0" fontId="1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general" vertical="top" wrapText="1"/>
    </xf>
    <xf numFmtId="0" fontId="1" fillId="3" borderId="1" applyAlignment="1" pivotButton="0" quotePrefix="0" xfId="0">
      <alignment vertical="top" wrapText="1"/>
    </xf>
    <xf numFmtId="0" fontId="1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7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I8" activeCellId="0" sqref="I8"/>
    </sheetView>
  </sheetViews>
  <sheetFormatPr baseColWidth="8" defaultColWidth="8.6796875" defaultRowHeight="15" customHeight="0" zeroHeight="0" outlineLevelRow="0"/>
  <cols>
    <col width="9" customWidth="1" style="10" min="1" max="1"/>
    <col width="12" customWidth="1" style="10" min="2" max="2"/>
    <col width="38" customWidth="1" style="10" min="3" max="3"/>
    <col width="32" customWidth="1" style="10" min="4" max="4"/>
    <col width="55" customWidth="1" style="10" min="5" max="6"/>
    <col width="11" customWidth="1" style="10" min="7" max="7"/>
    <col width="12" customWidth="1" style="10" min="8" max="8"/>
    <col width="45" customWidth="1" style="10" min="9" max="9"/>
    <col width="9" customWidth="1" style="10" min="10" max="10"/>
    <col width="30" customWidth="1" style="10" min="11" max="11"/>
    <col width="14" customWidth="1" style="11" min="12" max="12"/>
    <col width="30" customWidth="1" style="11" min="13" max="13"/>
  </cols>
  <sheetData>
    <row r="1" ht="16.15" customHeight="1" s="11">
      <c r="A1" s="12" t="inlineStr">
        <is>
          <t>Журнал виконання тест-кейсів — Спринт 3, Run 1, «СтейНау» (SRS 1.1), localhost (restful-booker-platform)</t>
        </is>
      </c>
    </row>
    <row r="2" ht="13.8" customHeight="1" s="11">
      <c r="A2" s="13" t="inlineStr">
        <is>
          <t>Виконавець: Дятлов М. (ІТ). Кожен кейс — у новому вікні інкогніто Chrome. Статуси: passed / failed / blocked / skipped. Для failed — номер Issue (мітка sprint:3) і скріншот.</t>
        </is>
      </c>
    </row>
    <row r="3" ht="13.8" customHeight="1" s="11">
      <c r="A3" s="13" t="inlineStr">
        <is>
          <t>Run 1: виконано на localhost замість demo з передумов кейсів.</t>
        </is>
      </c>
    </row>
    <row r="4" ht="13.8" customHeight="1" s="11">
      <c r="A4" s="14" t="inlineStr">
        <is>
          <t>TC-ID</t>
        </is>
      </c>
      <c r="B4" s="14" t="inlineStr">
        <is>
          <t>Вимога</t>
        </is>
      </c>
      <c r="C4" s="14" t="inlineStr">
        <is>
          <t>Заголовок</t>
        </is>
      </c>
      <c r="D4" s="14" t="inlineStr">
        <is>
          <t>Передумови</t>
        </is>
      </c>
      <c r="E4" s="14" t="inlineStr">
        <is>
          <t>Що зробити (кроки)</t>
        </is>
      </c>
      <c r="F4" s="14" t="inlineStr">
        <is>
          <t>Що має вийти (очікуваний результат)</t>
        </is>
      </c>
      <c r="G4" s="14" t="inlineStr">
        <is>
          <t>Статус</t>
        </is>
      </c>
      <c r="H4" s="14" t="inlineStr">
        <is>
          <t>Дата</t>
        </is>
      </c>
      <c r="I4" s="14" t="inlineStr">
        <is>
          <t>Фактичний результат</t>
        </is>
      </c>
      <c r="J4" s="14" t="inlineStr">
        <is>
          <t>Issue №</t>
        </is>
      </c>
      <c r="K4" s="14" t="inlineStr">
        <is>
          <t>Коментар</t>
        </is>
      </c>
      <c r="L4" s="14" t="inlineStr">
        <is>
          <t>Виконавець</t>
        </is>
      </c>
      <c r="M4" s="14" t="inlineStr">
        <is>
          <t>Середовище</t>
        </is>
      </c>
    </row>
    <row r="5" ht="103.5" customHeight="1" s="11">
      <c r="A5" s="15" t="inlineStr">
        <is>
          <t>TC-001</t>
        </is>
      </c>
      <c r="B5" s="15" t="inlineStr">
        <is>
          <t>F-10</t>
        </is>
      </c>
      <c r="C5" s="15" t="inlineStr">
        <is>
          <t>Головна сторінка гостя показує назву готелю, опис, кнопку «Book Now» і шість пунктів меню</t>
        </is>
      </c>
      <c r="D5" s="15" t="inlineStr">
        <is>
          <t>Chrome (поточна версія), нова сесія (інкогніто); без входу; demo https://automationintesting.online доступне</t>
        </is>
      </c>
      <c r="E5" s="16" t="inlineStr">
        <is>
          <t>1. Відкрити https://automationintesting.online.
2. Переглянути верхню частину головної сторінки.
3. Переглянути меню у шапці зліва направо.
4. Закрити вкладку.</t>
        </is>
      </c>
      <c r="F5" s="16" t="inlineStr">
        <is>
          <t>1. Головна сторінка готелю завантажується.
2. Видно назву готелю, текст опису і кнопку «Book Now».
3. Меню містить рівно «Rooms», «Booking», «Amenities», «Location», «Contact», «Admin».
4. Вкладку закрито; кейс завершено.</t>
        </is>
      </c>
      <c r="G5" s="15" t="inlineStr">
        <is>
          <t>passed</t>
        </is>
      </c>
      <c r="H5" s="15" t="inlineStr">
        <is>
          <t>25.10.2026</t>
        </is>
      </c>
      <c r="I5" s="17" t="inlineStr">
        <is>
          <t>Як очікувалось</t>
        </is>
      </c>
      <c r="J5" s="16" t="n"/>
      <c r="K5" s="16" t="n"/>
      <c r="L5" s="16" t="inlineStr">
        <is>
          <t>Дятлов М.</t>
        </is>
      </c>
      <c r="M5" s="16" t="inlineStr">
        <is>
          <t>localhost (див. аркуш Environment); Chrome</t>
        </is>
      </c>
    </row>
    <row r="6" ht="129.75" customHeight="1" s="11">
      <c r="A6" s="15" t="inlineStr">
        <is>
          <t>TC-002</t>
        </is>
      </c>
      <c r="B6" s="15" t="inlineStr">
        <is>
          <t>F-10</t>
        </is>
      </c>
      <c r="C6" s="15" t="inlineStr">
        <is>
          <t>Пункти меню «Rooms», «Booking», «Contact» прокручують сторінку до відповідних розділів</t>
        </is>
      </c>
      <c r="D6" s="15" t="inlineStr">
        <is>
          <t>Chrome (поточна версія), нова сесія (інкогніто); без входу; demo https://automationintesting.online доступне</t>
        </is>
      </c>
      <c r="E6" s="16" t="inlineStr">
        <is>
          <t>1. Відкрити https://automationintesting.online.
2. Натиснути «Rooms» у меню.
3. Натиснути «Booking» у меню.
4. Натиснути «Contact» у меню.
5. Закрити вкладку.</t>
        </is>
      </c>
      <c r="F6" s="16" t="inlineStr">
        <is>
          <t>1. Головна сторінка готелю завантажується.
2. Сторінку прокручено до розділу «Our Rooms».
3. Сторінку прокручено до віджета «Check Availability &amp; Book Your Stay».
4. Сторінку прокручено до розділу «Send Us a Message».
5. Вкладку закрито; кейс завершено.</t>
        </is>
      </c>
      <c r="G6" s="15" t="inlineStr">
        <is>
          <t>passed</t>
        </is>
      </c>
      <c r="H6" s="15" t="inlineStr">
        <is>
          <t>25.10.2026</t>
        </is>
      </c>
      <c r="I6" s="17" t="inlineStr">
        <is>
          <t>Як очікувалось</t>
        </is>
      </c>
      <c r="J6" s="16" t="n"/>
      <c r="K6" s="16" t="n"/>
      <c r="L6" s="16" t="inlineStr">
        <is>
          <t>Дятлов М.</t>
        </is>
      </c>
      <c r="M6" s="16" t="inlineStr">
        <is>
          <t>localhost (див. аркуш Environment); Chrome</t>
        </is>
      </c>
    </row>
    <row r="7" ht="103.5" customHeight="1" s="11">
      <c r="A7" s="15" t="inlineStr">
        <is>
          <t>TC-003</t>
        </is>
      </c>
      <c r="B7" s="15" t="inlineStr">
        <is>
          <t>F-10</t>
        </is>
      </c>
      <c r="C7" s="15" t="inlineStr">
        <is>
          <t>Пункт «Admin» відкриває сторінку входу до адмінпанелі /admin</t>
        </is>
      </c>
      <c r="D7" s="15" t="inlineStr">
        <is>
          <t>Chrome (поточна версія), нова сесія (інкогніто); без входу; demo https://automationintesting.online доступне</t>
        </is>
      </c>
      <c r="E7" s="16" t="inlineStr">
        <is>
          <t>1. Відкрити https://automationintesting.online.
2. Натиснути «Admin» у меню.
3. Переглянути адресу і заголовок сторінки.
4. Закрити вкладку.</t>
        </is>
      </c>
      <c r="F7" s="16" t="inlineStr">
        <is>
          <t>1. Головна сторінка готелю завантажується.
2. Відкрито сторінку входу.
3. Адреса закінчується на /admin; заголовок «Login»; видно поля Username і Password.
4. Вкладку закрито; кейс завершено.</t>
        </is>
      </c>
      <c r="G7" s="15" t="inlineStr">
        <is>
          <t>passed</t>
        </is>
      </c>
      <c r="H7" s="15" t="inlineStr">
        <is>
          <t>25.10.2026</t>
        </is>
      </c>
      <c r="I7" s="17" t="inlineStr">
        <is>
          <t>Як очікувалось</t>
        </is>
      </c>
      <c r="J7" s="16" t="n"/>
      <c r="K7" s="16" t="n"/>
      <c r="L7" s="16" t="inlineStr">
        <is>
          <t>Дятлов М.</t>
        </is>
      </c>
      <c r="M7" s="16" t="inlineStr">
        <is>
          <t>localhost (див. аркуш Environment); Chrome</t>
        </is>
      </c>
    </row>
    <row r="8" ht="312" customHeight="1" s="11">
      <c r="A8" s="15" t="inlineStr">
        <is>
          <t>TC-004</t>
        </is>
      </c>
      <c r="B8" s="15" t="inlineStr">
        <is>
          <t>GUI-10</t>
        </is>
      </c>
      <c r="C8" s="15" t="inlineStr">
        <is>
          <t>Шапка на головній сторінці і на сторінці номера містить назву готелю ліворуч, посилання праворуч і лишається видимою при прокручуванні</t>
        </is>
      </c>
      <c r="D8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8" s="16" t="inlineStr">
        <is>
          <t>1. Відкрити https://automationintesting.online.
2. Переглянути шапку сторінки.
3. Прокрутити сторінку до її нижньої частини колесом миші.
4. Переглянути верхню частину вікна браузера.
5. У поле Check In віджета ввести дату «сьогодні + 140 днів» у форматі мм/дд/рррр.
6. У поле Check Out віджета ввести дату «сьогодні + 142 дні» у форматі мм/дд/рррр.
7. Натиснути «Check Availability».
8. Натиснути «Book now» на першій картці номера в переліку.
9. Переглянути шапку на сторінці номера.
10. Прокрутити сторінку номера до її нижньої частини.
11. Переглянути верхню частину вікна браузера.
12. Закрити вкладку.</t>
        </is>
      </c>
      <c r="F8" s="16" t="inlineStr">
        <is>
          <t>1. Головна сторінка готелю завантажується.
2. Назва готелю розташована ліворуч; праворуч — «Rooms», «Booking», «Amenities», «Location», «Contact», «Admin».
3. Сторінку прокручено до підвалу.
4. Шапка з назвою готелю і посиланнями залишається видимою у верхній частині вікна.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Відкрито сторінку номера /reservation/{id}; у календарі виділено вибраний інтервал.
9. Назва готелю розташована ліворуч; праворуч — «Rooms», «Booking», «Amenities», «Location», «Contact», «Admin».
10. Сторінку прокручено до підвалу.
11. Шапка з назвою готелю і посиланнями залишається видимою у верхній частині вікна.
12. Вкладку закрито; кейс завершено.</t>
        </is>
      </c>
      <c r="G8" s="15" t="inlineStr">
        <is>
          <t>passed</t>
        </is>
      </c>
      <c r="H8" s="16" t="inlineStr">
        <is>
          <t>25.10.2026</t>
        </is>
      </c>
      <c r="I8" s="17" t="inlineStr">
        <is>
          <t>Як очікувалось</t>
        </is>
      </c>
      <c r="J8" s="16" t="n"/>
      <c r="K8" s="16" t="n"/>
      <c r="L8" s="16" t="inlineStr">
        <is>
          <t>Дятлов М.</t>
        </is>
      </c>
      <c r="M8" s="16" t="inlineStr">
        <is>
          <t>localhost (див. аркуш Environment); Chrome</t>
        </is>
      </c>
    </row>
    <row r="9" ht="181.5" customHeight="1" s="11">
      <c r="A9" s="15" t="inlineStr">
        <is>
          <t>TC-005</t>
        </is>
      </c>
      <c r="B9" s="15" t="inlineStr">
        <is>
          <t>F-20</t>
        </is>
      </c>
      <c r="C9" s="15" t="inlineStr">
        <is>
          <t>Картка кожного номера в «Our Rooms» містить тип, опис, зручності, ціну «£N per night» і кнопку «Book now»</t>
        </is>
      </c>
      <c r="D9" s="15" t="inlineStr">
        <is>
          <t>Chrome (поточна версія), нова сесія (інкогніто); без входу; demo https://automationintesting.online доступне</t>
        </is>
      </c>
      <c r="E9" s="16" t="inlineStr">
        <is>
          <t>1. Відкрити https://automationintesting.online.
2. Натиснути «Rooms» у меню.
3. Переглянути тип номера на кожній картці.
4. Переглянути опис і зручності на кожній картці.
5. Переглянути ціну на кожній картці.
6. Переглянути кнопку на кожній картці.
7. Закрити вкладку.</t>
        </is>
      </c>
      <c r="F9" s="16" t="inlineStr">
        <is>
          <t>1. Головна сторінка готелю завантажується.
2. Показано розділ «Our Rooms» з картками номерів.
3. Тип — одне зі значень Single, Double, Suite.
4. Є опис; зручності — з-поміж TV, WiFi, Safe, Radio.
5. Ціна у форматі «£N per night», N — ціле число.
6. На кожній картці є кнопка «Book now».
7. Вкладку закрито; кейс завершено.</t>
        </is>
      </c>
      <c r="G9" s="15" t="inlineStr">
        <is>
          <t>passed</t>
        </is>
      </c>
      <c r="H9" s="16" t="inlineStr">
        <is>
          <t>25.10.2026</t>
        </is>
      </c>
      <c r="I9" s="17" t="inlineStr">
        <is>
          <t>Як очікувалось</t>
        </is>
      </c>
      <c r="J9" s="16" t="n"/>
      <c r="K9" s="16" t="n"/>
      <c r="L9" s="16" t="inlineStr">
        <is>
          <t>Дятлов М.</t>
        </is>
      </c>
      <c r="M9" s="16" t="inlineStr">
        <is>
          <t>localhost (див. аркуш Environment); Chrome</t>
        </is>
      </c>
    </row>
    <row r="10" ht="181.5" customHeight="1" s="11">
      <c r="A10" s="15" t="inlineStr">
        <is>
          <t>TC-006</t>
        </is>
      </c>
      <c r="B10" s="15" t="inlineStr">
        <is>
          <t>GUI-30</t>
        </is>
      </c>
      <c r="C10" s="15" t="inlineStr">
        <is>
          <t>Кожна картка номера містить зображення, назву типу, короткий опис, зручності з піктограмами, ціну і кнопку</t>
        </is>
      </c>
      <c r="D10" s="15" t="inlineStr">
        <is>
          <t>Chrome (поточна версія), нова сесія (інкогніто); без входу; demo https://automationintesting.online доступне</t>
        </is>
      </c>
      <c r="E10" s="16" t="inlineStr">
        <is>
          <t>1. Відкрити https://automationintesting.online.
2. Натиснути «Rooms» у меню.
3. Переглянути зображення на кожній картці.
4. Переглянути назву типу і короткий опис на кожній картці.
5. Переглянути перелік зручностей на кожній картці.
6. Переглянути ціну і кнопку на кожній картці.
7. Закрити вкладку.</t>
        </is>
      </c>
      <c r="F10" s="16" t="inlineStr">
        <is>
          <t>1. Головна сторінка готелю завантажується.
2. Показано розділ «Our Rooms».
3. На кожній картці зображення відображається повністю, не як «зламане».
4. На кожній картці є назва типу і короткий опис.
5. На кожній картці кожна зручність має піктограму.
6. На кожній картці ціна у форматі «£N per night» і кнопка «Book now».
7. Вкладку закрито; кейс завершено.</t>
        </is>
      </c>
      <c r="G10" s="15" t="inlineStr">
        <is>
          <t>passed</t>
        </is>
      </c>
      <c r="H10" s="16" t="inlineStr">
        <is>
          <t>25.10.2026</t>
        </is>
      </c>
      <c r="I10" s="17" t="inlineStr">
        <is>
          <t>Як очікувалось</t>
        </is>
      </c>
      <c r="J10" s="16" t="n"/>
      <c r="K10" s="16" t="n"/>
      <c r="L10" s="16" t="inlineStr">
        <is>
          <t>Дятлов М.</t>
        </is>
      </c>
      <c r="M10" s="16" t="inlineStr">
        <is>
          <t>localhost (див. аркуш Environment); Chrome</t>
        </is>
      </c>
    </row>
    <row r="11" ht="181.5" customHeight="1" s="11">
      <c r="A11" s="15" t="inlineStr">
        <is>
          <t>TC-007</t>
        </is>
      </c>
      <c r="B11" s="15" t="inlineStr">
        <is>
          <t>F-20, GUI-20</t>
        </is>
      </c>
      <c r="C11" s="15" t="inlineStr">
        <is>
          <t>«Book now» відкриває /reservation/{id} із датами віджета в параметрах checkin і checkout</t>
        </is>
      </c>
      <c r="D11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1" s="16" t="inlineStr">
        <is>
          <t>1. Відкрити https://automationintesting.online.
2. У поле Check In віджета ввести дату «сьогодні + 40 днів» у форматі мм/дд/рррр.
3. У поле Check Out віджета ввести дату «сьогодні + 42 дні» у форматі мм/дд/рррр.
4. Натиснути «Check Availability».
5. Натиснути «Book now» на першій картці номера.
6. Переглянути адресу сторінки.
7. Закрити вкладку.</t>
        </is>
      </c>
      <c r="F11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номера.
6. Адреса містить /reservation/, параметри checkin і checkout; дати збігаються з введеними (сьогодні + 40 і + 42) у форматі РРРР-ММ-ДД.
7. Вкладку закрито; кейс завершено.</t>
        </is>
      </c>
      <c r="G11" s="15" t="inlineStr">
        <is>
          <t>passed</t>
        </is>
      </c>
      <c r="H11" s="16" t="inlineStr">
        <is>
          <t>25.10.2026</t>
        </is>
      </c>
      <c r="I11" s="17" t="inlineStr">
        <is>
          <t>Як очікувалось</t>
        </is>
      </c>
      <c r="J11" s="16" t="n"/>
      <c r="K11" s="16" t="n"/>
      <c r="L11" s="16" t="inlineStr">
        <is>
          <t>Дятлов М.</t>
        </is>
      </c>
      <c r="M11" s="16" t="inlineStr">
        <is>
          <t>localhost (див. аркуш Environment); Chrome</t>
        </is>
      </c>
    </row>
    <row r="12" ht="259.5" customHeight="1" s="11">
      <c r="A12" s="15" t="inlineStr">
        <is>
          <t>TC-008</t>
        </is>
      </c>
      <c r="B12" s="15" t="inlineStr">
        <is>
          <t>F-30</t>
        </is>
      </c>
      <c r="C12" s="15" t="inlineStr">
        <is>
          <t>Check Availability оновлює перелік номерів для вибраного інтервалу</t>
        </is>
      </c>
      <c r="D12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2" s="16" t="inlineStr">
        <is>
          <t>1. Відкрити https://automationintesting.online.
2. Натиснути «Rooms» у меню.
3. Підрахувати картки номерів у розділі «Our Rooms» (K0).
4. Натиснути «Booking» у меню.
5. У поле Check In віджета ввести дату «сьогодні + 200 днів» у форматі мм/дд/рррр.
6. У поле Check Out віджета ввести дату «сьогодні + 203 дні» у форматі мм/дд/рррр.
7. Натиснути «Check Availability».
8. Натиснути «Rooms» у меню.
9. Підрахувати картки номерів у розділі «Our Rooms» (K1).
10. Закрити вкладку.</t>
        </is>
      </c>
      <c r="F12" s="16" t="inlineStr">
        <is>
          <t>1. Головна сторінка готелю завантажується.
2. Сторінку прокручено до розділу «Our Rooms» із картками номерів.
3. K0 — ціле число не менше 1.
4. Сторінку прокручено до віджета «Check Availability &amp; Book Your Stay».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Сторінку прокручено до розділу «Our Rooms».
9. K1 не перевищує K0; кожна показана картка має тип (Single, Double або Suite), ціну «£N per night» і кнопку «Book now».
10. Вкладку закрито; кейс завершено.</t>
        </is>
      </c>
      <c r="G12" s="15" t="inlineStr">
        <is>
          <t>passed</t>
        </is>
      </c>
      <c r="H12" s="16" t="inlineStr">
        <is>
          <t>25.10.2026</t>
        </is>
      </c>
      <c r="I12" s="17" t="inlineStr">
        <is>
          <t>Як очікувалось</t>
        </is>
      </c>
      <c r="J12" s="16" t="n"/>
      <c r="K12" s="16" t="n"/>
      <c r="L12" s="16" t="inlineStr">
        <is>
          <t>Дятлов М.</t>
        </is>
      </c>
      <c r="M12" s="16" t="inlineStr">
        <is>
          <t>localhost (див. аркуш Environment); Chrome</t>
        </is>
      </c>
    </row>
    <row r="13" ht="468" customHeight="1" s="11">
      <c r="A13" s="15" t="inlineStr">
        <is>
          <t>TC-009</t>
        </is>
      </c>
      <c r="B13" s="15" t="inlineStr">
        <is>
          <t>F-40, F-30, BL-70</t>
        </is>
      </c>
      <c r="C13" s="15" t="inlineStr">
        <is>
          <t>Номер, зайнятий хоча б на одну ніч вибраного інтервалу, не показується в переліку вільних</t>
        </is>
      </c>
      <c r="D13" s="15" t="inlineStr">
        <is>
          <t>Chrome (поточна версія), нова сесія (інкогніто); без входу; demo https://automationintesting.online доступне; якщо на кроці «Записати» перший номер для вибраних дат недоступний (бронювання вже існує), усі дати кейсу зсунути на +100 днів і далі виконувати з новими датами; DevTools (F12) → Network відкрито, фільтр «checkin»</t>
        </is>
      </c>
      <c r="E13" s="16" t="inlineStr">
        <is>
          <t>1. Відкрити https://automationintesting.online.
2. У поле Check In віджета ввести дату «сьогодні + 60 днів» у форматі мм/дд/рррр.
3. У поле Check Out віджета ввести дату «сьогодні + 62 дні» у форматі мм/дд/рррр.
4. Натиснути «Check Availability».
5. Записати тип, опис і ціну першого номера в переліку.
6. Натиснути «Book now» на першій картці номера.
7. Натиснути «Reserve Now» на сторінці номера.
8. У поле Firstname ввести «T3-Guest».
9. У поле Lastname ввести «Tester».
10. У поле Email ввести «t3.guest@example.com».
11. У поле Phone ввести «+380001234567».
12. Натиснути «Reserve Now» у формі бронювання.
13. Відкрити https://automationintesting.online у цій самій вкладці.
14. У поле Check In віджета ввести дату «сьогодні + 61 день» у форматі мм/дд/рррр.
15. У поле Check Out віджета ввести дату «сьогодні + 63 дні» у форматі мм/дд/рррр.
16. Натиснути «Check Availability».
17. Переглянути перелік і знайти номер із записаними типом, описом і ціною.
18. Закрити вкладку.</t>
        </is>
      </c>
      <c r="F13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номера.
7. З'являється форма бронювання.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Значення введено в поле; повідомлень про помилку немає.
12. Показано «Booking Successful!» з датами проживання сьогодні + 60 і + 62.
13. Головна сторінка готелю завантажується.
14. У полі показано введену дату.
15. У полі показано введену дату.
16. У Network з'являється новий запит, URL якого містить checkin і checkout, що дорівнюють введеним датам у форматі РРРР-ММ-ДД.
17. Цього номера в переліку немає: його ніч +61 зайнята.
18. Вкладку закрито; кейс завершено.</t>
        </is>
      </c>
      <c r="G13" s="15" t="inlineStr">
        <is>
          <t>passed</t>
        </is>
      </c>
      <c r="H13" s="16" t="inlineStr">
        <is>
          <t>25.10.2026</t>
        </is>
      </c>
      <c r="I13" s="17" t="inlineStr">
        <is>
          <t>Як очікувалось</t>
        </is>
      </c>
      <c r="J13" s="16" t="n"/>
      <c r="K13" s="16" t="n"/>
      <c r="L13" s="16" t="inlineStr">
        <is>
          <t>Дятлов М.</t>
        </is>
      </c>
      <c r="M13" s="16" t="inlineStr">
        <is>
          <t>localhost (див. аркуш Environment); Chrome</t>
        </is>
      </c>
    </row>
    <row r="14" ht="649.5" customHeight="1" s="11">
      <c r="A14" s="15" t="inlineStr">
        <is>
          <t>TC-010</t>
        </is>
      </c>
      <c r="B14" s="15" t="inlineStr">
        <is>
          <t>BL-70, F-60</t>
        </is>
      </c>
      <c r="C14" s="15" t="inlineStr">
        <is>
          <t>Виїзд у день заїзду іншого гостя дозволений: номер вільний на інтервал, що починається в день виїзду</t>
        </is>
      </c>
      <c r="D14" s="15" t="inlineStr">
        <is>
          <t>Chrome (поточна версія), нова сесія (інкогніто); без входу; demo https://automationintesting.online доступне; якщо на кроці «Записати» перший номер для вибраних дат недоступний (бронювання вже існує), усі дати кейсу зсунути на +100 днів і далі виконувати з новими датами; DevTools (F12) → Network відкрито, фільтр «checkin»</t>
        </is>
      </c>
      <c r="E14" s="16" t="inlineStr">
        <is>
          <t>1. Відкрити https://automationintesting.online.
2. У поле Check In віджета ввести дату «сьогодні + 70 днів» у форматі мм/дд/рррр.
3. У поле Check Out віджета ввести дату «сьогодні + 72 дні» у форматі мм/дд/рррр.
4. Натиснути «Check Availability».
5. Записати тип, опис і ціну першого номера в переліку.
6. Натиснути «Book now» на першій картці номера.
7. Натиснути «Reserve Now» на сторінці номера.
8. У поле Firstname ввести «T3-Guest».
9. У поле Lastname ввести «Tester».
10. У поле Email ввести «t3.guest@example.com».
11. У поле Phone ввести «+380001234567».
12. Натиснути «Reserve Now» у формі бронювання.
13. Відкрити https://automationintesting.online у цій самій вкладці.
14. У поле Check In віджета ввести дату «сьогодні + 72 дні» у форматі мм/дд/рррр.
15. У поле Check Out віджета ввести дату «сьогодні + 74 дні» у форматі мм/дд/рррр.
16. Натиснути «Check Availability».
17. Знайти в переліку номер із записаними типом, описом і ціною.
18. Натиснути «Book now» на цій картці.
19. Натиснути «Reserve Now» на сторінці номера.
20. У поле Firstname ввести «T3-Guest2».
21. У поле Lastname ввести «Tester».
22. У поле Email ввести «t3.guest2@example.com».
23. У поле Phone ввести «+380001234568».
24. Натиснути «Reserve Now» у формі бронювання.
25. Закрити вкладку.</t>
        </is>
      </c>
      <c r="F14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номера.
7. З'являється форма бронювання.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Значення введено в поле; повідомлень про помилку немає.
12. Показано «Booking Successful!» з датами сьогодні + 70 і + 72.
13. Головна сторінка готелю завантажується.
14. У полі показано введену дату.
15. У полі показано введену дату.
16. У Network з'являється новий запит, URL якого містить checkin і checkout, що дорівнюють введеним датам у форматі РРРР-ММ-ДД.
17. Номер у переліку є.
18. Відкрито сторінку цього номера.
19. З'являється форма бронювання.
20. Значення введено в поле; повідомлень про помилку немає.
21. Значення введено в поле; повідомлень про помилку немає.
22. Значення введено в поле; повідомлень про помилку немає.
23. Значення введено в поле; повідомлень про помилку немає.
24. Показано «Booking Successful!» з датами сьогодні + 72 і + 74.
25. Вкладку закрито; кейс завершено.</t>
        </is>
      </c>
      <c r="G14" s="15" t="inlineStr">
        <is>
          <t>passed</t>
        </is>
      </c>
      <c r="H14" s="16" t="inlineStr">
        <is>
          <t>25.10.2026</t>
        </is>
      </c>
      <c r="I14" s="17" t="inlineStr">
        <is>
          <t>Як очікувалось</t>
        </is>
      </c>
      <c r="J14" s="16" t="n"/>
      <c r="K14" s="16" t="n"/>
      <c r="L14" s="16" t="inlineStr">
        <is>
          <t>Дятлов М.</t>
        </is>
      </c>
      <c r="M14" s="16" t="inlineStr">
        <is>
          <t>localhost (див. аркуш Environment); Chrome</t>
        </is>
      </c>
    </row>
    <row r="15" ht="234" customHeight="1" s="11">
      <c r="A15" s="15" t="inlineStr">
        <is>
          <t>TC-011</t>
        </is>
      </c>
      <c r="B15" s="15" t="inlineStr">
        <is>
          <t>F-40</t>
        </is>
      </c>
      <c r="C15" s="15" t="inlineStr">
        <is>
          <t>Перелік вільних номерів з'являється не довше ніж за 3 с після «Check Availability»</t>
        </is>
      </c>
      <c r="D15" s="15" t="inlineStr">
        <is>
          <t>Chrome (поточна версія), нова сесія (інкогніто); без входу; demo https://automationintesting.online доступне</t>
        </is>
      </c>
      <c r="E15" s="16" t="inlineStr">
        <is>
          <t>1. Відкрити https://automationintesting.online.
2. Відкрити DevTools (F12) і перейти на вкладку Network.
3. У полі фільтра Network ввести «checkin».
4. Натиснути «Clear» у Network.
5. У поле Check In віджета ввести дату «сьогодні + 200 днів» у форматі мм/дд/рррр.
6. У поле Check Out віджета ввести дату «сьогодні + 203 дні» у форматі мм/дд/рррр.
7. Натиснути «Check Availability».
8. У Network знайти запит із checkin і checkout у URL і переглянути значення його колонки Time.
9. Закрити вкладку.</t>
        </is>
      </c>
      <c r="F15" s="16" t="inlineStr">
        <is>
          <t>1. Головна сторінка готелю завантажується.
2. Вкладку Network відкрито.
3. Фільтр застосовано.
4. Журнал запитів порожній.
5. У полі показано введену дату.
6. У полі показано введену дату.
7. У Network з'являється новий запит, URL якого містить checkin і checkout, що дорівнюють введеним датам у форматі РРРР-ММ-ДД.
8. Time цього запиту не перевищує 3000 мс.
9. Вкладку закрито; кейс завершено.</t>
        </is>
      </c>
      <c r="G15" s="15" t="inlineStr">
        <is>
          <t>passed</t>
        </is>
      </c>
      <c r="H15" s="16" t="inlineStr">
        <is>
          <t>25.10.2026</t>
        </is>
      </c>
      <c r="I15" s="17" t="inlineStr">
        <is>
          <t>Як очікувалось</t>
        </is>
      </c>
      <c r="J15" s="16" t="n"/>
      <c r="K15" s="16" t="n"/>
      <c r="L15" s="16" t="inlineStr">
        <is>
          <t>Дятлов М.</t>
        </is>
      </c>
      <c r="M15" s="16" t="inlineStr">
        <is>
          <t>localhost (див. аркуш Environment); Chrome</t>
        </is>
      </c>
    </row>
    <row r="16" ht="285.75" customHeight="1" s="11">
      <c r="A16" s="15" t="inlineStr">
        <is>
          <t>TC-012</t>
        </is>
      </c>
      <c r="B16" s="15" t="inlineStr">
        <is>
          <t>F-50</t>
        </is>
      </c>
      <c r="C16" s="15" t="inlineStr">
        <is>
          <t>Сторінка номера показує тип, «Accessible», «Max N Guests», опис, зручності, правила, календар і «Price Summary»</t>
        </is>
      </c>
      <c r="D16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6" s="16" t="inlineStr">
        <is>
          <t>1. Відкрити https://automationintesting.online.
2. У поле Check In віджета ввести дату «сьогодні + 80 днів» у форматі мм/дд/рррр.
3. У поле Check Out віджета ввести дату «сьогодні + 83 дні» у форматі мм/дд/рррр.
4. Натиснути «Check Availability».
5. Натиснути «Book now» на першій картці номера в переліку.
6. Переглянути блок опису номера.
7. Переглянути позначку «Accessible» біля типу номера.
8. Переглянути блок правил.
9. Переглянути календар.
10. Переглянути блок «Price Summary».
11. Закрити вкладку.</t>
        </is>
      </c>
      <c r="F16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Є тип, «Max N Guests» (N — ціле), опис, зручності.
7. Якщо номер пристосований (у розділі номерів адмінпанелі Accessible = true) — позначка «Accessible» є; якщо ні — позначки немає. У журналі зазначити, який із двох варіантів виконано.
8. Заїзд 3:00 PM – 8:00 PM; виїзд до 11:00 AM.
9. Інтервал сьогодні + 80 … + 83 виділено.
10. Блок присутній.
11. Вкладку закрито; кейс завершено.</t>
        </is>
      </c>
      <c r="G16" s="15" t="inlineStr">
        <is>
          <t>passed</t>
        </is>
      </c>
      <c r="H16" s="16" t="inlineStr">
        <is>
          <t>25.10.2026</t>
        </is>
      </c>
      <c r="I16" s="17" t="inlineStr">
        <is>
          <t>Як очікувалось</t>
        </is>
      </c>
      <c r="J16" s="16" t="n"/>
      <c r="K16" s="16" t="n"/>
      <c r="L16" s="16" t="inlineStr">
        <is>
          <t>Дятлов М.</t>
        </is>
      </c>
      <c r="M16" s="16" t="inlineStr">
        <is>
          <t>localhost (див. аркуш Environment); Chrome</t>
        </is>
      </c>
    </row>
    <row r="17" ht="207.75" customHeight="1" s="11">
      <c r="A17" s="15" t="inlineStr">
        <is>
          <t>TC-013</t>
        </is>
      </c>
      <c r="B17" s="15" t="inlineStr">
        <is>
          <t>F-50</t>
        </is>
      </c>
      <c r="C17" s="15" t="inlineStr">
        <is>
          <t>Price Summary для 1 ночі: Total дорівнює тарифу плюс 25 плюс 15</t>
        </is>
      </c>
      <c r="D17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7" s="16" t="inlineStr">
        <is>
          <t>1. Відкрити https://automationintesting.online.
2. У поле Check In віджета ввести дату «сьогодні + 90 днів» у форматі мм/дд/рррр.
3. У поле Check Out віджета ввести дату «сьогодні + 91 день» у форматі мм/дд/рррр.
4. Натиснути «Check Availability».
5. Записати ціну «£T per night» першої картки номера в переліку.
6. Натиснути «Book now» на першій картці номера в переліку.
7. Переглянути блок «Price Summary».
8. Закрити вкладку.</t>
        </is>
      </c>
      <c r="F17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Тариф T записано (ціле число).
6. Відкрито сторінку номера /reservation/{id}; у календарі виділено вибраний інтервал.
7. Рядок «£T x 1 nights» із сумою T; «Cleaning fee» £25; «Service fee» £15; «Total» = T + 40.
8. Вкладку закрито; кейс завершено.</t>
        </is>
      </c>
      <c r="G17" s="15" t="inlineStr">
        <is>
          <t>passed</t>
        </is>
      </c>
      <c r="H17" s="16" t="inlineStr">
        <is>
          <t>25.10.2026</t>
        </is>
      </c>
      <c r="I17" s="17" t="inlineStr">
        <is>
          <t>Як очікувалось</t>
        </is>
      </c>
      <c r="J17" s="16" t="n"/>
      <c r="K17" s="16" t="n"/>
      <c r="L17" s="16" t="inlineStr">
        <is>
          <t>Дятлов М.</t>
        </is>
      </c>
      <c r="M17" s="16" t="inlineStr">
        <is>
          <t>localhost (див. аркуш Environment); Chrome</t>
        </is>
      </c>
    </row>
    <row r="18" ht="207.75" customHeight="1" s="11">
      <c r="A18" s="15" t="inlineStr">
        <is>
          <t>TC-014</t>
        </is>
      </c>
      <c r="B18" s="15" t="inlineStr">
        <is>
          <t>F-50</t>
        </is>
      </c>
      <c r="C18" s="15" t="inlineStr">
        <is>
          <t>Price Summary для 3 ночей: Total дорівнює добутку тарифу на 3 плюс 25 плюс 15</t>
        </is>
      </c>
      <c r="D18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8" s="16" t="inlineStr">
        <is>
          <t>1. Відкрити https://automationintesting.online.
2. У поле Check In віджета ввести дату «сьогодні + 95 днів» у форматі мм/дд/рррр.
3. У поле Check Out віджета ввести дату «сьогодні + 98 днів» у форматі мм/дд/рррр.
4. Натиснути «Check Availability».
5. Записати ціну «£T per night» першої картки номера в переліку.
6. Натиснути «Book now» на першій картці номера в переліку.
7. Переглянути блок «Price Summary».
8. Закрити вкладку.</t>
        </is>
      </c>
      <c r="F18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Тариф T записано (ціле число).
6. Відкрито сторінку номера /reservation/{id}; у календарі виділено вибраний інтервал.
7. Рядок «£T x 3 nights» із сумою 3 × T; «Cleaning fee» £25; «Service fee» £15; «Total» = 3 × T + 40.
8. Вкладку закрито; кейс завершено.</t>
        </is>
      </c>
      <c r="G18" s="18" t="inlineStr">
        <is>
          <t>passed</t>
        </is>
      </c>
      <c r="H18" s="16" t="inlineStr">
        <is>
          <t>25.10.2026</t>
        </is>
      </c>
      <c r="I18" s="17" t="inlineStr">
        <is>
          <t>Як очікувалось</t>
        </is>
      </c>
      <c r="J18" s="16" t="n"/>
      <c r="K18" s="16" t="n"/>
      <c r="L18" s="16" t="inlineStr">
        <is>
          <t>Дятлов М.</t>
        </is>
      </c>
      <c r="M18" s="16" t="inlineStr">
        <is>
          <t>localhost (див. аркуш Environment); Chrome</t>
        </is>
      </c>
    </row>
    <row r="19" ht="207.75" customHeight="1" s="11">
      <c r="A19" s="15" t="inlineStr">
        <is>
          <t>TC-015</t>
        </is>
      </c>
      <c r="B19" s="15" t="inlineStr">
        <is>
          <t>GUI-50</t>
        </is>
      </c>
      <c r="C19" s="15" t="inlineStr">
        <is>
          <t>Price Summary: «Cleaning fee» £25, «Service fee» £15, підсумок «Total» напівжирним</t>
        </is>
      </c>
      <c r="D19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19" s="16" t="inlineStr">
        <is>
          <t>1. Відкрити https://automationintesting.online.
2. У поле Check In віджета ввести дату «сьогодні + 105 днів» у форматі мм/дд/рррр.
3. У поле Check Out віджета ввести дату «сьогодні + 107 днів» у форматі мм/дд/рррр.
4. Натиснути «Check Availability».
5. Натиснути «Book now» на першій картці номера в переліку.
6. Переглянути рядки «Cleaning fee» і «Service fee».
7. Відкрити DevTools на елементі «Total» (правий клік → Inspect) і переглянути обчислений font-weight.
8. Закрити вкладку.</t>
        </is>
      </c>
      <c r="F19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«Cleaning fee» — £25; «Service fee» — £15.
7. font-weight «Total» не менше 600 (напівжирний).
8. Вкладку закрито; кейс завершено.</t>
        </is>
      </c>
      <c r="G19" s="15" t="inlineStr">
        <is>
          <t>passed</t>
        </is>
      </c>
      <c r="H19" s="16" t="inlineStr">
        <is>
          <t>25.10.2026</t>
        </is>
      </c>
      <c r="I19" s="17" t="inlineStr">
        <is>
          <t>Як очікувалось</t>
        </is>
      </c>
      <c r="J19" s="16" t="n"/>
      <c r="K19" s="16" t="n"/>
      <c r="L19" s="16" t="inlineStr">
        <is>
          <t>Дятлов М.</t>
        </is>
      </c>
      <c r="M19" s="16" t="inlineStr">
        <is>
          <t>localhost (див. аркуш Environment); Chrome</t>
        </is>
      </c>
    </row>
    <row r="20" ht="312" customHeight="1" s="11">
      <c r="A20" s="15" t="inlineStr">
        <is>
          <t>TC-016</t>
        </is>
      </c>
      <c r="B20" s="15" t="inlineStr">
        <is>
          <t>F-60, GUI-40</t>
        </is>
      </c>
      <c r="C20" s="15" t="inlineStr">
        <is>
          <t>Бронювання з коректними даними зберігається і показує «Booking Successful!» з датами проживання</t>
        </is>
      </c>
      <c r="D20" s="15" t="inlineStr">
        <is>
          <t>Chrome (поточна версія), нова сесія (інкогніто); без входу; demo https://automationintesting.online доступне; на дати «сьогодні + 80 … + 83» інших бронювань немає (за потреби — інші дати); DevTools (F12) → Network відкрито, фільтр «checkin»</t>
        </is>
      </c>
      <c r="E20" s="16" t="inlineStr">
        <is>
          <t>1. Відкрити https://automationintesting.online.
2. У поле Check In віджета ввести дату «сьогодні + 80 днів» у форматі мм/дд/рррр.
3. У поле Check Out віджета ввести дату «сьогодні + 83 дні» у форматі мм/дд/рррр.
4. Натиснути «Check Availability».
5. Натиснути «Book now» на першій картці номера в переліку.
6. Натиснути «Reserve Now» на сторінці номера.
7. У поле Firstname ввести «T3-Guest».
8. У поле Lastname ввести «Tester».
9. У поле Email ввести «t3.guest@example.com».
10. У поле Phone ввести «+380001234567».
11. Натиснути «Reserve Now» у формі бронювання.
12. Закрити вкладку.</t>
        </is>
      </c>
      <c r="F20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Значення введено в поле; повідомлень про помилку немає.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Показано повідомлення «Booking Successful!» з датами проживання сьогодні + 80 і + 83; помилок немає.
12. Вкладку закрито; кейс завершено.</t>
        </is>
      </c>
      <c r="G20" s="15" t="inlineStr">
        <is>
          <t>passed</t>
        </is>
      </c>
      <c r="H20" s="16" t="inlineStr">
        <is>
          <t>25.10.2026</t>
        </is>
      </c>
      <c r="I20" s="17" t="inlineStr">
        <is>
          <t>Як очікувалось</t>
        </is>
      </c>
      <c r="J20" s="16" t="n"/>
      <c r="K20" s="16" t="n"/>
      <c r="L20" s="16" t="inlineStr">
        <is>
          <t>Дятлов М.</t>
        </is>
      </c>
      <c r="M20" s="16" t="inlineStr">
        <is>
          <t>localhost (див. аркуш Environment); Chrome</t>
        </is>
      </c>
    </row>
    <row r="21" ht="234" customHeight="1" s="11">
      <c r="A21" s="15" t="inlineStr">
        <is>
          <t>TC-017</t>
        </is>
      </c>
      <c r="B21" s="15" t="inlineStr">
        <is>
          <t>GUI-40</t>
        </is>
      </c>
      <c r="C21" s="15" t="inlineStr">
        <is>
          <t>Форма бронювання містить поля з підказками Firstname, Lastname, Email, Phone і кнопки «Reserve Now», «Cancel»</t>
        </is>
      </c>
      <c r="D21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21" s="16" t="inlineStr">
        <is>
          <t>1. Відкрити https://automationintesting.online.
2. У поле Check In віджета ввести дату «сьогодні + 110 днів» у форматі мм/дд/рррр.
3. У поле Check Out віджета ввести дату «сьогодні + 112 днів»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підказки (placeholder) у полях форми.
8. Переглянути кнопки під полями.
9. Закрити вкладку.</t>
        </is>
      </c>
      <c r="F21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Підказки: «Firstname», «Lastname», «Email», «Phone».
8. Є кнопки «Reserve Now» і «Cancel».
9. Вкладку закрито; кейс завершено.</t>
        </is>
      </c>
      <c r="G21" s="15" t="inlineStr">
        <is>
          <t>passed</t>
        </is>
      </c>
      <c r="H21" s="16" t="inlineStr">
        <is>
          <t>25.10.2026</t>
        </is>
      </c>
      <c r="I21" s="17" t="inlineStr">
        <is>
          <t>Як очікувалось</t>
        </is>
      </c>
      <c r="J21" s="16" t="n"/>
      <c r="K21" s="16" t="n"/>
      <c r="L21" s="16" t="inlineStr">
        <is>
          <t>Дятлов М.</t>
        </is>
      </c>
      <c r="M21" s="16" t="inlineStr">
        <is>
          <t>localhost (див. аркуш Environment); Chrome</t>
        </is>
      </c>
    </row>
    <row r="22" ht="390" customHeight="1" s="11">
      <c r="A22" s="15" t="inlineStr">
        <is>
          <t>TC-018</t>
        </is>
      </c>
      <c r="B22" s="15" t="inlineStr">
        <is>
          <t>GUI-40</t>
        </is>
      </c>
      <c r="C22" s="15" t="inlineStr">
        <is>
          <t>Кнопка «Cancel» приховує форму бронювання без створення бронювання</t>
        </is>
      </c>
      <c r="D22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22" s="16" t="inlineStr">
        <is>
          <t>1. Відкрити https://automationintesting.online.
2. У поле Check In віджета ввести дату «сьогодні + 115 днів» у форматі мм/дд/рррр.
3. У поле Check Out віджета ввести дату «сьогодні + 117 днів» у форматі мм/дд/рррр.
4. Натиснути «Check Availability».
5. Записати тип, опис і ціну першого номера в переліку.
6. Натиснути «Book now» на першій картці номера в переліку.
7. Натиснути «Reserve Now» на сторінці номера.
8. У поле Firstname ввести «T3-Guest».
9. Натиснути «Cancel».
10. Відкрити https://automationintesting.online у цій самій вкладці.
11. У поле Check In віджета ввести дату «сьогодні + 115 днів» у форматі мм/дд/рррр.
12. У поле Check Out віджета ввести дату «сьогодні + 117 днів» у форматі мм/дд/рррр.
13. Натиснути «Check Availability».
14. Знайти в переліку номер із записаними типом, описом і ціною.
15. Закрити вкладку.</t>
        </is>
      </c>
      <c r="F22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Тип, опис і ціну записано.
6. Відкрито сторінку номера /reservation/{id}; у календарі виділено вибраний інтервал.
7. З'являється форма бронювання.
8. Значення введено в поле; повідомлень про помилку немає.
9. Форма бронювання прихована; бронювання не створено.
10. Головна сторінка готелю завантажується.
11. У полі показано введену дату.
12. У полі показано введену дату.
13. У Network з'являється новий запит, URL якого містить checkin і checkout, що дорівнюють введеним датам у форматі РРРР-ММ-ДД.
14. Номер із записаними типом, описом і ціною лишається в переліку вільних.
15. Вкладку закрито; кейс завершено.</t>
        </is>
      </c>
      <c r="G22" s="15" t="inlineStr">
        <is>
          <t>passed</t>
        </is>
      </c>
      <c r="H22" s="16" t="inlineStr">
        <is>
          <t>25.10.2026</t>
        </is>
      </c>
      <c r="I22" s="17" t="inlineStr">
        <is>
          <t>Як очікувалось</t>
        </is>
      </c>
      <c r="J22" s="16" t="n"/>
      <c r="K22" s="16" t="n"/>
      <c r="L22" s="16" t="inlineStr">
        <is>
          <t>Дятлов М.</t>
        </is>
      </c>
      <c r="M22" s="16" t="inlineStr">
        <is>
          <t>localhost (див. аркуш Environment); Chrome</t>
        </is>
      </c>
    </row>
    <row r="23" ht="234" customHeight="1" s="11">
      <c r="A23" s="15" t="inlineStr">
        <is>
          <t>TC-019</t>
        </is>
      </c>
      <c r="B23" s="15" t="inlineStr">
        <is>
          <t>GUI-80, F-60, GUI-60</t>
        </is>
      </c>
      <c r="C23" s="15" t="inlineStr">
        <is>
          <t>«Reserve Now» завжди активна; натискання з порожніми полями показує перелік помилок над кнопкою, бронювання не зберігається</t>
        </is>
      </c>
      <c r="D23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23" s="16" t="inlineStr">
        <is>
          <t>1. Відкрити https://automationintesting.online.
2. У поле Check In віджета ввести дату «сьогодні + 120 днів» у форматі мм/дд/рррр.
3. У поле Check Out віджета ввести дату «сьогодні + 122 дні»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стан кнопки «Reserve Now» у формі до введення даних.
8. Натиснути «Reserve Now» з усіма порожніми полями.
9. Закрити вкладку.</t>
        </is>
      </c>
      <c r="F23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Кнопка активна (не затемнена, не disabled).
8. Над кнопкою показано перелік помилок валідації; кожна помилка називає поле і причину; «Booking Successful!» не показано.
9. Вкладку закрито; кейс завершено.</t>
        </is>
      </c>
      <c r="G23" s="15" t="inlineStr">
        <is>
          <t>passed</t>
        </is>
      </c>
      <c r="H23" s="16" t="inlineStr">
        <is>
          <t>25.10.2026</t>
        </is>
      </c>
      <c r="I23" s="17" t="inlineStr">
        <is>
          <t>[ВСТАВИТИ дослівний текст помилок, які показала форма над кнопкою]</t>
        </is>
      </c>
      <c r="J23" s="16" t="n"/>
      <c r="K23" s="16" t="n"/>
      <c r="L23" s="16" t="inlineStr">
        <is>
          <t>Дятлов М.</t>
        </is>
      </c>
      <c r="M23" s="16" t="inlineStr">
        <is>
          <t>localhost (див. аркуш Environment); Chrome</t>
        </is>
      </c>
    </row>
    <row r="24" ht="312" customHeight="1" s="11">
      <c r="A24" s="15" t="inlineStr">
        <is>
          <t>TC-020</t>
        </is>
      </c>
      <c r="B24" s="15" t="inlineStr">
        <is>
          <t>F-60, GUI-60</t>
        </is>
      </c>
      <c r="C24" s="15" t="inlineStr">
        <is>
          <t>Бронювання з Email без символу «@» відхиляється, помилка називає поле Email</t>
        </is>
      </c>
      <c r="D24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24" s="16" t="inlineStr">
        <is>
          <t>1. Відкрити https://automationintesting.online.
2. У поле Check In віджета ввести дату «сьогодні + 125 днів» у форматі мм/дд/рррр.
3. У поле Check Out віджета ввести дату «сьогодні + 127 днів» у форматі мм/дд/рррр.
4. Натиснути «Check Availability».
5. Натиснути «Book now» на першій картці номера в переліку.
6. Натиснути «Reserve Now» на сторінці номера.
7. У поле Firstname ввести «T3-Guest».
8. У поле Lastname ввести «Tester».
9. У поле Email ввести «t3.guest.example.com».
10. У поле Phone ввести «+380001234567».
11. Натиснути «Reserve Now» у формі бронювання.
12. Закрити вкладку.</t>
        </is>
      </c>
      <c r="F24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Значення введено в поле; повідомлень про помилку немає.
8. Значення введено в поле; повідомлень про помилку немає.
9. Значення введено в поле; повідомлень про помилку немає.
10. Значення введено в поле; повідомлень про помилку немає.
11. Над кнопкою показано помилку, що називає поле Email і причину; «Booking Successful!» не показано; бронювання не створено.
12. Вкладку закрито; кейс завершено.</t>
        </is>
      </c>
      <c r="G24" s="15" t="inlineStr">
        <is>
          <t>passed</t>
        </is>
      </c>
      <c r="H24" s="16" t="inlineStr">
        <is>
          <t>25.10.2026</t>
        </is>
      </c>
      <c r="I24" s="17" t="inlineStr">
        <is>
          <t>[ВСТАВИТИ дослівний текст помилок, які показала форма над кнопкою]</t>
        </is>
      </c>
      <c r="J24" s="16" t="n"/>
      <c r="K24" s="16" t="n"/>
      <c r="L24" s="16" t="inlineStr">
        <is>
          <t>Дятлов М.</t>
        </is>
      </c>
      <c r="M24" s="16" t="inlineStr">
        <is>
          <t>localhost (див. аркуш Environment); Chrome</t>
        </is>
      </c>
    </row>
    <row r="25" ht="234" customHeight="1" s="11">
      <c r="A25" s="15" t="inlineStr">
        <is>
          <t>TC-021</t>
        </is>
      </c>
      <c r="B25" s="15" t="inlineStr">
        <is>
          <t>F-70, GUI-85</t>
        </is>
      </c>
      <c r="C25" s="15" t="inlineStr">
        <is>
          <t>Контактна форма з коректними даними зберігає повідомлення і показує подяку з іменем і темою</t>
        </is>
      </c>
      <c r="D25" s="15" t="inlineStr">
        <is>
          <t>Chrome (поточна версія), нова сесія (інкогніто); без входу; demo https://automationintesting.online доступне</t>
        </is>
      </c>
      <c r="E25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T3-Booking question.
7. У поле Message ввести T3 test message about booking dates.
8. Натиснути «Submit».
9. Закрити вкладку.</t>
        </is>
      </c>
      <c r="F25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подякою; у тексті є ім'я «T3-Guest» і тема «T3-Booking question».
9. Вкладку закрито; кейс завершено.</t>
        </is>
      </c>
      <c r="G25" s="15" t="inlineStr">
        <is>
          <t>passed</t>
        </is>
      </c>
      <c r="H25" s="16" t="inlineStr">
        <is>
          <t>25.10.2026</t>
        </is>
      </c>
      <c r="I25" s="17" t="inlineStr">
        <is>
          <t>Як очікувалось</t>
        </is>
      </c>
      <c r="J25" s="16" t="n"/>
      <c r="K25" s="16" t="n"/>
      <c r="L25" s="16" t="inlineStr">
        <is>
          <t>Дятлов М.</t>
        </is>
      </c>
      <c r="M25" s="16" t="inlineStr">
        <is>
          <t>localhost (див. аркуш Environment); Chrome</t>
        </is>
      </c>
    </row>
    <row r="26" ht="129.75" customHeight="1" s="11">
      <c r="A26" s="15" t="inlineStr">
        <is>
          <t>TC-022</t>
        </is>
      </c>
      <c r="B26" s="15" t="inlineStr">
        <is>
          <t>GUI-85</t>
        </is>
      </c>
      <c r="C26" s="15" t="inlineStr">
        <is>
          <t>Форма «Send Us a Message» містить поля Name, Email, Phone, Subject, багаторядкове Message і кнопку «Submit»</t>
        </is>
      </c>
      <c r="D26" s="15" t="inlineStr">
        <is>
          <t>Chrome (поточна версія), нова сесія (інкогніто); без входу; demo https://automationintesting.online доступне</t>
        </is>
      </c>
      <c r="E26" s="16" t="inlineStr">
        <is>
          <t>1. Відкрити https://automationintesting.online.
2. Натиснути «Contact» у меню.
3. Переглянути поля форми.
4. У поле Message ввести два рядки через Enter: «T3 line one» і «T3 line two».
5. Закрити вкладку.</t>
        </is>
      </c>
      <c r="F26" s="16" t="inlineStr">
        <is>
          <t>1. Головна сторінка готелю завантажується.
2. Сторінку прокручено до форми.
3. Є поля Name, Email, Phone, Subject, Message і кнопка «Submit».
4. Обидва рядки відображаються у полі окремо (поле багаторядкове).
5. Вкладку закрито; кейс завершено.</t>
        </is>
      </c>
      <c r="G26" s="15" t="inlineStr">
        <is>
          <t>passed</t>
        </is>
      </c>
      <c r="H26" s="16" t="inlineStr">
        <is>
          <t>25.10.2026</t>
        </is>
      </c>
      <c r="I26" s="17" t="inlineStr">
        <is>
          <t>Як очікувалось</t>
        </is>
      </c>
      <c r="J26" s="16" t="n"/>
      <c r="K26" s="16" t="n"/>
      <c r="L26" s="16" t="inlineStr">
        <is>
          <t>Дятлов М.</t>
        </is>
      </c>
      <c r="M26" s="16" t="inlineStr">
        <is>
          <t>localhost (див. аркуш Environment); Chrome</t>
        </is>
      </c>
    </row>
    <row r="27" ht="207.75" customHeight="1" s="11">
      <c r="A27" s="15" t="inlineStr">
        <is>
          <t>TC-023</t>
        </is>
      </c>
      <c r="B27" s="15" t="inlineStr">
        <is>
          <t>GUI-60, F-70</t>
        </is>
      </c>
      <c r="C27" s="15" t="inlineStr">
        <is>
          <t>Контактна форма з порожньою темою: помилка називає поле Subject, стоїть над кнопкою, без технічних кодів, до 100 символів</t>
        </is>
      </c>
      <c r="D27" s="15" t="inlineStr">
        <is>
          <t>Chrome (поточна версія), нова сесія (інкогніто); без входу; demo https://automationintesting.online доступне</t>
        </is>
      </c>
      <c r="E27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Message ввести T3 test message about booking dates.
7. Натиснути «Submit».
8. Закрити вкладку.</t>
        </is>
      </c>
      <c r="F27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Над кнопкою «Submit» показано перелік помилок; є помилка, що називає поле Subject і причину; довжина кожного повідомлення до 100 символів; технічних кодів немає; форма лишається; подяку не показано.
8. Вкладку закрито; кейс завершено.</t>
        </is>
      </c>
      <c r="G27" s="15" t="inlineStr">
        <is>
          <t>passed</t>
        </is>
      </c>
      <c r="H27" s="16" t="inlineStr">
        <is>
          <t>25.10.2026</t>
        </is>
      </c>
      <c r="I27" s="17" t="inlineStr">
        <is>
          <t>Як очікувалось</t>
        </is>
      </c>
      <c r="J27" s="16" t="n"/>
      <c r="K27" s="16" t="n"/>
      <c r="L27" s="16" t="inlineStr">
        <is>
          <t>Дятлов М.</t>
        </is>
      </c>
      <c r="M27" s="16" t="inlineStr">
        <is>
          <t>localhost (див. аркуш Environment); Chrome</t>
        </is>
      </c>
    </row>
    <row r="28" ht="234" customHeight="1" s="11">
      <c r="A28" s="15" t="inlineStr">
        <is>
          <t>TC-024</t>
        </is>
      </c>
      <c r="B28" s="15" t="inlineStr">
        <is>
          <t>F-70</t>
        </is>
      </c>
      <c r="C28" s="15" t="inlineStr">
        <is>
          <t>Контактна форма: тема довжиною 4 символи відхиляється (діапазон 5–100)</t>
        </is>
      </c>
      <c r="D28" s="15" t="inlineStr">
        <is>
          <t>Chrome (поточна версія), нова сесія (інкогніто); без входу; demo https://automationintesting.online доступне</t>
        </is>
      </c>
      <c r="E28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«T3-A».
7. У поле Message ввести «T3 boundary message text ok».
8. Натиснути «Submit».
9. Закрити вкладку.</t>
        </is>
      </c>
      <c r="F28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Над кнопкою показано помилку, що називає поле Subject і причину (довжина поза 5–100); повідомлення не збережено; форма лишається.
9. Вкладку закрито; кейс завершено.</t>
        </is>
      </c>
      <c r="G28" s="15" t="inlineStr">
        <is>
          <t>passed</t>
        </is>
      </c>
      <c r="H28" s="16" t="inlineStr">
        <is>
          <t>25.10.2026</t>
        </is>
      </c>
      <c r="I28" s="17" t="inlineStr">
        <is>
          <t>Як очікувалось</t>
        </is>
      </c>
      <c r="J28" s="16" t="n"/>
      <c r="K28" s="16" t="n"/>
      <c r="L28" s="16" t="inlineStr">
        <is>
          <t>Дятлов М.</t>
        </is>
      </c>
      <c r="M28" s="16" t="inlineStr">
        <is>
          <t>localhost (див. аркуш Environment); Chrome</t>
        </is>
      </c>
    </row>
    <row r="29" ht="234" customHeight="1" s="11">
      <c r="A29" s="15" t="inlineStr">
        <is>
          <t>TC-025</t>
        </is>
      </c>
      <c r="B29" s="15" t="inlineStr">
        <is>
          <t>F-70</t>
        </is>
      </c>
      <c r="C29" s="15" t="inlineStr">
        <is>
          <t>Контактна форма: тема довжиною 5 символів приймається (діапазон 5–100)</t>
        </is>
      </c>
      <c r="D29" s="15" t="inlineStr">
        <is>
          <t>Chrome (поточна версія), нова сесія (інкогніто); без входу; demo https://automationintesting.online доступне</t>
        </is>
      </c>
      <c r="E29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«T3-AB».
7. У поле Message ввести «T3 boundary message text ok».
8. Натиснути «Submit».
9. Закрити вкладку.</t>
        </is>
      </c>
      <c r="F29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 з темою з кроку «Subject»; помилок немає.
9. Вкладку закрито; кейс завершено.</t>
        </is>
      </c>
      <c r="G29" s="15" t="inlineStr">
        <is>
          <t>passed</t>
        </is>
      </c>
      <c r="H29" s="16" t="inlineStr">
        <is>
          <t>25.10.2026</t>
        </is>
      </c>
      <c r="I29" s="17" t="inlineStr">
        <is>
          <t>Як очікувалось</t>
        </is>
      </c>
      <c r="J29" s="16" t="n"/>
      <c r="K29" s="16" t="n"/>
      <c r="L29" s="16" t="inlineStr">
        <is>
          <t>Дятлов М.</t>
        </is>
      </c>
      <c r="M29" s="16" t="inlineStr">
        <is>
          <t>localhost (див. аркуш Environment); Chrome</t>
        </is>
      </c>
    </row>
    <row r="30" ht="259.5" customHeight="1" s="11">
      <c r="A30" s="15" t="inlineStr">
        <is>
          <t>TC-026</t>
        </is>
      </c>
      <c r="B30" s="15" t="inlineStr">
        <is>
          <t>F-70</t>
        </is>
      </c>
      <c r="C30" s="15" t="inlineStr">
        <is>
          <t>Контактна форма: тема довжиною 100 символів приймається (діапазон 5–100)</t>
        </is>
      </c>
      <c r="D30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0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консолі DevTools (F12 → Console) виконати copy('T3-'+'A'.repeat(97)).
7. У поле Subject вставити вміст буфера обміну (Ctrl+V).
8. У поле Message ввести «T3 boundary message text ok».
9. Натиснути «Submit».
10. Закрити вкладку.</t>
        </is>
      </c>
      <c r="F30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У буфері обміну рядок довжиною 100: «T3-» і 97 символів «A».
7. Значення вставлено в поле; повідомлень про помилку немає.
8. Значення введено в поле; повідомлень про помилку немає.
9. Форма замінена подякою з темою з кроку «Subject»; помилок немає.
10. Вкладку закрито; кейс завершено.</t>
        </is>
      </c>
      <c r="G30" s="15" t="inlineStr">
        <is>
          <t>passed</t>
        </is>
      </c>
      <c r="H30" s="16" t="inlineStr">
        <is>
          <t>25.10.2026</t>
        </is>
      </c>
      <c r="I30" s="17" t="inlineStr">
        <is>
          <t>Як очікувалось</t>
        </is>
      </c>
      <c r="J30" s="16" t="n"/>
      <c r="K30" s="16" t="n"/>
      <c r="L30" s="16" t="inlineStr">
        <is>
          <t>Дятлов М.</t>
        </is>
      </c>
      <c r="M30" s="16" t="inlineStr">
        <is>
          <t>localhost (див. аркуш Environment); Chrome</t>
        </is>
      </c>
    </row>
    <row r="31" ht="259.5" customHeight="1" s="11">
      <c r="A31" s="15" t="inlineStr">
        <is>
          <t>TC-027</t>
        </is>
      </c>
      <c r="B31" s="15" t="inlineStr">
        <is>
          <t>F-70</t>
        </is>
      </c>
      <c r="C31" s="15" t="inlineStr">
        <is>
          <t>Контактна форма: тема довжиною 101 символ відхиляється (діапазон 5–100)</t>
        </is>
      </c>
      <c r="D31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1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консолі DevTools (F12 → Console) виконати copy('T3-'+'A'.repeat(98)).
7. У поле Subject вставити вміст буфера обміну (Ctrl+V).
8. У поле Message ввести «T3 boundary message text ok».
9. Натиснути «Submit».
10. Закрити вкладку.</t>
        </is>
      </c>
      <c r="F31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У буфері обміну рядок довжиною 101: «T3-» і 98 символів «A».
7. Значення вставлено в поле; повідомлень про помилку немає.
8. Значення введено в поле; повідомлень про помилку немає.
9. Над кнопкою показано помилку, що називає поле Subject і причину (довжина поза 5–100); повідомлення не збережено; форма лишається.
10. Вкладку закрито; кейс завершено.</t>
        </is>
      </c>
      <c r="G31" s="15" t="inlineStr">
        <is>
          <t>passed</t>
        </is>
      </c>
      <c r="H31" s="16" t="inlineStr">
        <is>
          <t>25.10.2026</t>
        </is>
      </c>
      <c r="I31" s="17" t="inlineStr">
        <is>
          <t>Як очікувалось</t>
        </is>
      </c>
      <c r="J31" s="16" t="n"/>
      <c r="K31" s="16" t="n"/>
      <c r="L31" s="16" t="inlineStr">
        <is>
          <t>Дятлов М.</t>
        </is>
      </c>
      <c r="M31" s="16" t="inlineStr">
        <is>
          <t>localhost (див. аркуш Environment); Chrome</t>
        </is>
      </c>
    </row>
    <row r="32" ht="259.5" customHeight="1" s="11">
      <c r="A32" s="15" t="inlineStr">
        <is>
          <t>TC-028</t>
        </is>
      </c>
      <c r="B32" s="15" t="inlineStr">
        <is>
          <t>F-70</t>
        </is>
      </c>
      <c r="C32" s="15" t="inlineStr">
        <is>
          <t>Контактна форма: повідомлення довжиною 19 символів відхиляється (діапазон 20–2000)</t>
        </is>
      </c>
      <c r="D32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2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copy('M'.repeat(19)).
8. У поле Message вставити вміст буфера обміну (Ctrl+V).
9. Натиснути «Submit».
10. Закрити вкладку.</t>
        </is>
      </c>
      <c r="F32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19: символ «M».
8. Значення вставлено в поле; повідомлень про помилку немає.
9. Над кнопкою показано помилку, що називає поле Message і причину (довжина поза 20–2000); повідомлення не збережено; форма лишається.
10. Вкладку закрито; кейс завершено.</t>
        </is>
      </c>
      <c r="G32" s="15" t="inlineStr">
        <is>
          <t>passed</t>
        </is>
      </c>
      <c r="H32" s="16" t="inlineStr">
        <is>
          <t>25.10.2026</t>
        </is>
      </c>
      <c r="I32" s="17" t="inlineStr">
        <is>
          <t>Як очікувалось</t>
        </is>
      </c>
      <c r="J32" s="16" t="n"/>
      <c r="K32" s="16" t="n"/>
      <c r="L32" s="16" t="inlineStr">
        <is>
          <t>Дятлов М.</t>
        </is>
      </c>
      <c r="M32" s="16" t="inlineStr">
        <is>
          <t>localhost (див. аркуш Environment); Chrome</t>
        </is>
      </c>
    </row>
    <row r="33" ht="259.5" customHeight="1" s="11">
      <c r="A33" s="15" t="inlineStr">
        <is>
          <t>TC-029</t>
        </is>
      </c>
      <c r="B33" s="15" t="inlineStr">
        <is>
          <t>F-70</t>
        </is>
      </c>
      <c r="C33" s="15" t="inlineStr">
        <is>
          <t>Контактна форма: повідомлення довжиною 20 символів приймається (діапазон 20–2000)</t>
        </is>
      </c>
      <c r="D33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3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copy('M'.repeat(20)).
8. У поле Message вставити вміст буфера обміну (Ctrl+V).
9. Натиснути «Submit».
10. Закрити вкладку.</t>
        </is>
      </c>
      <c r="F33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20: символ «M».
8. Значення вставлено в поле; повідомлень про помилку немає.
9. Форма замінена подякою; помилок немає.
10. Вкладку закрито; кейс завершено.</t>
        </is>
      </c>
      <c r="G33" s="15" t="inlineStr">
        <is>
          <t>passed</t>
        </is>
      </c>
      <c r="H33" s="16" t="inlineStr">
        <is>
          <t>25.10.2026</t>
        </is>
      </c>
      <c r="I33" s="17" t="inlineStr">
        <is>
          <t>Як очікувалось</t>
        </is>
      </c>
      <c r="J33" s="16" t="n"/>
      <c r="K33" s="16" t="n"/>
      <c r="L33" s="16" t="inlineStr">
        <is>
          <t>Дятлов М.</t>
        </is>
      </c>
      <c r="M33" s="16" t="inlineStr">
        <is>
          <t>localhost (див. аркуш Environment); Chrome</t>
        </is>
      </c>
    </row>
    <row r="34" ht="259.5" customHeight="1" s="11">
      <c r="A34" s="15" t="inlineStr">
        <is>
          <t>TC-030</t>
        </is>
      </c>
      <c r="B34" s="15" t="inlineStr">
        <is>
          <t>F-70</t>
        </is>
      </c>
      <c r="C34" s="15" t="inlineStr">
        <is>
          <t>Контактна форма: повідомлення довжиною 2000 символів приймається (діапазон 20–2000)</t>
        </is>
      </c>
      <c r="D34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4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copy('M'.repeat(2000)).
8. У поле Message вставити вміст буфера обміну (Ctrl+V).
9. Натиснути «Submit».
10. Закрити вкладку.</t>
        </is>
      </c>
      <c r="F34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2000: символ «M».
8. Значення вставлено в поле; повідомлень про помилку немає.
9. Форма замінена подякою; помилок немає.
10. Вкладку закрито; кейс завершено.</t>
        </is>
      </c>
      <c r="G34" s="15" t="inlineStr">
        <is>
          <t>passed</t>
        </is>
      </c>
      <c r="H34" s="16" t="inlineStr">
        <is>
          <t>25.10.2026</t>
        </is>
      </c>
      <c r="I34" s="17" t="inlineStr">
        <is>
          <t>Як очікувалось</t>
        </is>
      </c>
      <c r="J34" s="16" t="n"/>
      <c r="K34" s="16" t="n"/>
      <c r="L34" s="16" t="inlineStr">
        <is>
          <t>Дятлов М.</t>
        </is>
      </c>
      <c r="M34" s="16" t="inlineStr">
        <is>
          <t>localhost (див. аркуш Environment); Chrome</t>
        </is>
      </c>
    </row>
    <row r="35" ht="259.5" customHeight="1" s="11">
      <c r="A35" s="15" t="inlineStr">
        <is>
          <t>TC-031</t>
        </is>
      </c>
      <c r="B35" s="15" t="inlineStr">
        <is>
          <t>F-70</t>
        </is>
      </c>
      <c r="C35" s="15" t="inlineStr">
        <is>
          <t>Контактна форма: повідомлення довжиною 2001 символ відхиляється (діапазон 20–2000)</t>
        </is>
      </c>
      <c r="D35" s="15" t="inlineStr">
        <is>
          <t>Chrome (поточна версія), нова сесія (інкогніто); без входу; demo https://automationintesting.online доступне; DevTools (F12 → Console) доступні для генерації рядка</t>
        </is>
      </c>
      <c r="E35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+380001234567.
6. У поле Subject ввести T3-Boundary.
7. У консолі DevTools (F12 → Console) виконати copy('M'.repeat(2001)).
8. У поле Message вставити вміст буфера обміну (Ctrl+V).
9. Натиснути «Submit».
10. Закрити вкладку.</t>
        </is>
      </c>
      <c r="F35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У буфері обміну рядок довжиною 2001: символ «M».
8. Значення вставлено в поле; повідомлень про помилку немає.
9. Над кнопкою показано помилку, що називає поле Message і причину (довжина поза 20–2000); повідомлення не збережено; форма лишається.
10. Вкладку закрито; кейс завершено.</t>
        </is>
      </c>
      <c r="G35" s="15" t="inlineStr">
        <is>
          <t>passed</t>
        </is>
      </c>
      <c r="H35" s="16" t="inlineStr">
        <is>
          <t>25.10.2026</t>
        </is>
      </c>
      <c r="I35" s="17" t="inlineStr">
        <is>
          <t>Як очікувалось</t>
        </is>
      </c>
      <c r="J35" s="16" t="n"/>
      <c r="K35" s="16" t="n"/>
      <c r="L35" s="16" t="inlineStr">
        <is>
          <t>Дятлов М.</t>
        </is>
      </c>
      <c r="M35" s="16" t="inlineStr">
        <is>
          <t>localhost (див. аркуш Environment); Chrome</t>
        </is>
      </c>
    </row>
    <row r="36" ht="234" customHeight="1" s="11">
      <c r="A36" s="15" t="inlineStr">
        <is>
          <t>TC-032</t>
        </is>
      </c>
      <c r="B36" s="15" t="inlineStr">
        <is>
          <t>F-70</t>
        </is>
      </c>
      <c r="C36" s="15" t="inlineStr">
        <is>
          <t>Контактна форма: телефон довжиною 10 символів відхиляється (діапазон 11–21)</t>
        </is>
      </c>
      <c r="D36" s="15" t="inlineStr">
        <is>
          <t>Chrome (поточна версія), нова сесія (інкогніто); без входу; demo https://automationintesting.online доступне</t>
        </is>
      </c>
      <c r="E36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«3456789012» (10 цифр).
6. У поле Subject ввести «T3-Phone boundary».
7. У поле Message ввести «T3 boundary message text ok».
8. Натиснути «Submit».
9. Закрити вкладку.</t>
        </is>
      </c>
      <c r="F36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Над кнопкою показано помилку, що називає поле Phone і причину (довжина поза 11–21); повідомлення не збережено; форма лишається.
9. Вкладку закрито; кейс завершено.</t>
        </is>
      </c>
      <c r="G36" s="15" t="inlineStr">
        <is>
          <t>passed</t>
        </is>
      </c>
      <c r="H36" s="16" t="inlineStr">
        <is>
          <t>25.10.2026</t>
        </is>
      </c>
      <c r="I36" s="17" t="inlineStr">
        <is>
          <t>Як очікувалось</t>
        </is>
      </c>
      <c r="J36" s="16" t="n"/>
      <c r="K36" s="16" t="n"/>
      <c r="L36" s="16" t="inlineStr">
        <is>
          <t>Дятлов М.</t>
        </is>
      </c>
      <c r="M36" s="16" t="inlineStr">
        <is>
          <t>localhost (див. аркуш Environment); Chrome</t>
        </is>
      </c>
    </row>
    <row r="37" ht="234" customHeight="1" s="11">
      <c r="A37" s="15" t="inlineStr">
        <is>
          <t>TC-033</t>
        </is>
      </c>
      <c r="B37" s="15" t="inlineStr">
        <is>
          <t>F-70</t>
        </is>
      </c>
      <c r="C37" s="15" t="inlineStr">
        <is>
          <t>Контактна форма: телефон довжиною 11 символів приймається (діапазон 11–21)</t>
        </is>
      </c>
      <c r="D37" s="15" t="inlineStr">
        <is>
          <t>Chrome (поточна версія), нова сесія (інкогніто); без входу; demo https://automationintesting.online доступне</t>
        </is>
      </c>
      <c r="E37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«34567890123» (11 цифр).
6. У поле Subject ввести «T3-Phone boundary».
7. У поле Message ввести «T3 boundary message text ok».
8. Натиснути «Submit».
9. Закрити вкладку.</t>
        </is>
      </c>
      <c r="F37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подякою; помилок немає.
9. Вкладку закрито; кейс завершено.</t>
        </is>
      </c>
      <c r="G37" s="15" t="inlineStr">
        <is>
          <t>passed</t>
        </is>
      </c>
      <c r="H37" s="16" t="inlineStr">
        <is>
          <t>25.10.2026</t>
        </is>
      </c>
      <c r="I37" s="17" t="inlineStr">
        <is>
          <t>Як очікувалось</t>
        </is>
      </c>
      <c r="J37" s="16" t="n"/>
      <c r="K37" s="16" t="n"/>
      <c r="L37" s="16" t="inlineStr">
        <is>
          <t>Дятлов М.</t>
        </is>
      </c>
      <c r="M37" s="16" t="inlineStr">
        <is>
          <t>localhost (див. аркуш Environment); Chrome</t>
        </is>
      </c>
    </row>
    <row r="38" ht="234" customHeight="1" s="11">
      <c r="A38" s="15" t="inlineStr">
        <is>
          <t>TC-034</t>
        </is>
      </c>
      <c r="B38" s="15" t="inlineStr">
        <is>
          <t>F-70</t>
        </is>
      </c>
      <c r="C38" s="15" t="inlineStr">
        <is>
          <t>Контактна форма: телефон довжиною 21 символ приймається (діапазон 11–21)</t>
        </is>
      </c>
      <c r="D38" s="15" t="inlineStr">
        <is>
          <t>Chrome (поточна версія), нова сесія (інкогніто); без входу; demo https://automationintesting.online доступне</t>
        </is>
      </c>
      <c r="E38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«345678901234567890123» (21 цифра).
6. У поле Subject ввести «T3-Phone boundary».
7. У поле Message ввести «T3 boundary message text ok».
8. Натиснути «Submit».
9. Закрити вкладку.</t>
        </is>
      </c>
      <c r="F38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Форма замінена подякою; помилок немає.
9. Вкладку закрито; кейс завершено.</t>
        </is>
      </c>
      <c r="G38" s="15" t="inlineStr">
        <is>
          <t>passed</t>
        </is>
      </c>
      <c r="H38" s="16" t="inlineStr">
        <is>
          <t>25.10.2026</t>
        </is>
      </c>
      <c r="I38" s="17" t="inlineStr">
        <is>
          <t>Як очікувалось</t>
        </is>
      </c>
      <c r="J38" s="16" t="n"/>
      <c r="K38" s="16" t="n"/>
      <c r="L38" s="16" t="inlineStr">
        <is>
          <t>Дятлов М.</t>
        </is>
      </c>
      <c r="M38" s="16" t="inlineStr">
        <is>
          <t>localhost (див. аркуш Environment); Chrome</t>
        </is>
      </c>
    </row>
    <row r="39" ht="234" customHeight="1" s="11">
      <c r="A39" s="15" t="inlineStr">
        <is>
          <t>TC-035</t>
        </is>
      </c>
      <c r="B39" s="15" t="inlineStr">
        <is>
          <t>F-70</t>
        </is>
      </c>
      <c r="C39" s="15" t="inlineStr">
        <is>
          <t>Контактна форма: телефон довжиною 22 символи відхиляється (діапазон 11–21)</t>
        </is>
      </c>
      <c r="D39" s="15" t="inlineStr">
        <is>
          <t>Chrome (поточна версія), нова сесія (інкогніто); без входу; demo https://automationintesting.online доступне</t>
        </is>
      </c>
      <c r="E39" s="16" t="inlineStr">
        <is>
          <t>1. Відкрити https://automationintesting.online.
2. Натиснути «Contact» у меню.
3. У поле Name ввести T3-Guest.
4. У поле Email ввести t3.guest@example.com.
5. У поле Phone ввести «3456789012345678901234» (22 цифри).
6. У поле Subject ввести «T3-Phone boundary».
7. У поле Message ввести «T3 boundary message text ok».
8. Натиснути «Submit».
9. Закрити вкладку.</t>
        </is>
      </c>
      <c r="F39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Над кнопкою показано помилку, що називає поле Phone і причину (довжина поза 11–21); повідомлення не збережено; форма лишається.
9. Вкладку закрито; кейс завершено.</t>
        </is>
      </c>
      <c r="G39" s="15" t="inlineStr">
        <is>
          <t>passed</t>
        </is>
      </c>
      <c r="H39" s="16" t="inlineStr">
        <is>
          <t>25.10.2026</t>
        </is>
      </c>
      <c r="I39" s="17" t="inlineStr">
        <is>
          <t>Як очікувалось</t>
        </is>
      </c>
      <c r="J39" s="16" t="n"/>
      <c r="K39" s="16" t="n"/>
      <c r="L39" s="16" t="inlineStr">
        <is>
          <t>Дятлов М.</t>
        </is>
      </c>
      <c r="M39" s="16" t="inlineStr">
        <is>
          <t>localhost (див. аркуш Environment); Chrome</t>
        </is>
      </c>
    </row>
    <row r="40" ht="129.75" customHeight="1" s="11">
      <c r="A40" s="15" t="inlineStr">
        <is>
          <t>TC-036</t>
        </is>
      </c>
      <c r="B40" s="15" t="inlineStr">
        <is>
          <t>F-80</t>
        </is>
      </c>
      <c r="C40" s="15" t="inlineStr">
        <is>
          <t>Вхід admin / password відкриває розділ керування номерами</t>
        </is>
      </c>
      <c r="D40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0" s="16" t="inlineStr">
        <is>
          <t>1. Відкрити https://automationintesting.online/admin.
2. У поле Username ввести «admin».
3. У поле Password ввести «password».
4. Натиснути «Login».
5. Натиснути «Logout» у шапці адмінпанелі.</t>
        </is>
      </c>
      <c r="F40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Повернення на сторінку входу /admin.</t>
        </is>
      </c>
      <c r="G40" s="15" t="inlineStr">
        <is>
          <t>passed</t>
        </is>
      </c>
      <c r="H40" s="16" t="inlineStr">
        <is>
          <t>25.10.2026</t>
        </is>
      </c>
      <c r="I40" s="17" t="inlineStr">
        <is>
          <t>Як очікувалось</t>
        </is>
      </c>
      <c r="J40" s="16" t="n"/>
      <c r="K40" s="16" t="n"/>
      <c r="L40" s="16" t="inlineStr">
        <is>
          <t>Дятлов М.</t>
        </is>
      </c>
      <c r="M40" s="16" t="inlineStr">
        <is>
          <t>localhost (див. аркуш Environment); Chrome</t>
        </is>
      </c>
    </row>
    <row r="41" ht="129.75" customHeight="1" s="11">
      <c r="A41" s="15" t="inlineStr">
        <is>
          <t>TC-037</t>
        </is>
      </c>
      <c r="B41" s="15" t="inlineStr">
        <is>
          <t>F-80</t>
        </is>
      </c>
      <c r="C41" s="15" t="inlineStr">
        <is>
          <t>Вхід із неправильним паролем не надає доступу, користувач лишається на сторінці входу</t>
        </is>
      </c>
      <c r="D41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1" s="16" t="inlineStr">
        <is>
          <t>1. Відкрити https://automationintesting.online/admin.
2. У поле Username ввести «admin».
3. У поле Password ввести «T3-wrong».
4. Натиснути «Login».
5. Закрити вкладку.</t>
        </is>
      </c>
      <c r="F41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Користувач лишається на сторінці входу; розділ керування номерами не відкрито.
5. Вкладку закрито; кейс завершено.</t>
        </is>
      </c>
      <c r="G41" s="15" t="inlineStr">
        <is>
          <t>passed</t>
        </is>
      </c>
      <c r="H41" s="16" t="inlineStr">
        <is>
          <t>25.10.2026</t>
        </is>
      </c>
      <c r="I41" s="17" t="inlineStr">
        <is>
          <t>Як очікувалось</t>
        </is>
      </c>
      <c r="J41" s="16" t="n"/>
      <c r="K41" s="16" t="n"/>
      <c r="L41" s="16" t="inlineStr">
        <is>
          <t>Дятлов М.</t>
        </is>
      </c>
      <c r="M41" s="16" t="inlineStr">
        <is>
          <t>localhost (див. аркуш Environment); Chrome</t>
        </is>
      </c>
    </row>
    <row r="42" ht="181.5" customHeight="1" s="11">
      <c r="A42" s="15" t="inlineStr">
        <is>
          <t>TC-038</t>
        </is>
      </c>
      <c r="B42" s="15" t="inlineStr">
        <is>
          <t>GUI-70</t>
        </is>
      </c>
      <c r="C42" s="15" t="inlineStr">
        <is>
          <t>Сторінка входу містить заголовок «Login», поля з підказками, маскування пароля і кнопку «Login»</t>
        </is>
      </c>
      <c r="D42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2" s="16" t="inlineStr">
        <is>
          <t>1. Відкрити https://automationintesting.online/admin.
2. Переглянути заголовок і підписи полів.
3. Переглянути підказку (placeholder) поля Username.
4. Переглянути підказку (placeholder) порожнього поля Password.
5. У поле Password ввести «abc».
6. Переглянути кнопку під полями.
7. Закрити вкладку.</t>
        </is>
      </c>
      <c r="F42" s="16" t="inlineStr">
        <is>
          <t>1. Відкрито сторінку входу до адмінпанелі.
2. Заголовок «Login»; підписи «Username» і «Password».
3. Підказка «Enter username».
4. Підказка «Password».
5. Символи замінено маскою (крапки або зірочки), текст «abc» не видно.
6. Кнопка «Login».
7. Вкладку закрито; кейс завершено.</t>
        </is>
      </c>
      <c r="G42" s="15" t="inlineStr">
        <is>
          <t>passed</t>
        </is>
      </c>
      <c r="H42" s="16" t="inlineStr">
        <is>
          <t>25.10.2026</t>
        </is>
      </c>
      <c r="I42" s="17" t="inlineStr">
        <is>
          <t>Як очікувалось</t>
        </is>
      </c>
      <c r="J42" s="16" t="n"/>
      <c r="K42" s="16" t="n"/>
      <c r="L42" s="16" t="inlineStr">
        <is>
          <t>Дятлов М.</t>
        </is>
      </c>
      <c r="M42" s="16" t="inlineStr">
        <is>
          <t>localhost (див. аркуш Environment); Chrome</t>
        </is>
      </c>
    </row>
    <row r="43" ht="78" customHeight="1" s="11">
      <c r="A43" s="15" t="inlineStr">
        <is>
          <t>TC-039</t>
        </is>
      </c>
      <c r="B43" s="15" t="inlineStr">
        <is>
          <t>GUI-70</t>
        </is>
      </c>
      <c r="C43" s="15" t="inlineStr">
        <is>
          <t>Вхід із порожніми полями позначає поля форми як помилкові і не надає доступ</t>
        </is>
      </c>
      <c r="D43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3" s="16" t="inlineStr">
        <is>
          <t>1. Відкрити https://automationintesting.online/admin.
2. Натиснути «Login» з порожніми полями Username і Password.
3. Закрити вкладку.</t>
        </is>
      </c>
      <c r="F43" s="16" t="inlineStr">
        <is>
          <t>1. Відкрито сторінку входу до адмінпанелі.
2. Поля Username і Password обведено червоною рамкою; розділ керування номерами не відкрито.
3. Вкладку закрито; кейс завершено.</t>
        </is>
      </c>
      <c r="G43" s="15" t="inlineStr">
        <is>
          <t>passed</t>
        </is>
      </c>
      <c r="H43" s="16" t="inlineStr">
        <is>
          <t>25.10.2026</t>
        </is>
      </c>
      <c r="I43" s="17" t="inlineStr">
        <is>
          <t>Як очікувалось</t>
        </is>
      </c>
      <c r="J43" s="16" t="n"/>
      <c r="K43" s="16" t="n"/>
      <c r="L43" s="16" t="inlineStr">
        <is>
          <t>Дятлов М.</t>
        </is>
      </c>
      <c r="M43" s="16" t="inlineStr">
        <is>
          <t>localhost (див. аркуш Environment); Chrome</t>
        </is>
      </c>
    </row>
    <row r="44" ht="78" customHeight="1" s="11">
      <c r="A44" s="15" t="inlineStr">
        <is>
          <t>TC-040</t>
        </is>
      </c>
      <c r="B44" s="15" t="inlineStr">
        <is>
          <t>GUI-70</t>
        </is>
      </c>
      <c r="C44" s="15" t="inlineStr">
        <is>
          <t>Шапка сторінки входу містить посилання «Front Page» і кнопку «Logout»</t>
        </is>
      </c>
      <c r="D44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4" s="16" t="inlineStr">
        <is>
          <t>1. Відкрити https://automationintesting.online/admin.
2. Переглянути шапку сторінки входу.
3. Закрити вкладку.</t>
        </is>
      </c>
      <c r="F44" s="16" t="inlineStr">
        <is>
          <t>1. Відкрито сторінку входу до адмінпанелі.
2. У шапці є посилання «Front Page» і кнопка «Logout» (за GUI-70 SRS 1.1).
3. Вкладку закрито; кейс завершено.</t>
        </is>
      </c>
      <c r="G44" s="15" t="inlineStr">
        <is>
          <t>passed</t>
        </is>
      </c>
      <c r="H44" s="16" t="inlineStr">
        <is>
          <t>25.10.2026</t>
        </is>
      </c>
      <c r="I44" s="17" t="inlineStr">
        <is>
          <t>Як очікувалось</t>
        </is>
      </c>
      <c r="J44" s="16" t="n"/>
      <c r="K44" s="16" t="n"/>
      <c r="L44" s="16" t="inlineStr">
        <is>
          <t>Дятлов М.</t>
        </is>
      </c>
      <c r="M44" s="16" t="inlineStr">
        <is>
          <t>localhost (див. аркуш Environment); Chrome</t>
        </is>
      </c>
    </row>
    <row r="45" ht="207.75" customHeight="1" s="11">
      <c r="A45" s="15" t="inlineStr">
        <is>
          <t>TC-041</t>
        </is>
      </c>
      <c r="B45" s="15" t="inlineStr">
        <is>
          <t>F-85, S-10</t>
        </is>
      </c>
      <c r="C45" s="15" t="inlineStr">
        <is>
          <t>Після «Logout» адмінпанель повертає на сторінку входу, а пряма адреса розділу номерів без входу недоступна</t>
        </is>
      </c>
      <c r="D45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5" s="16" t="inlineStr">
        <is>
          <t>1. Відкрити https://automationintesting.online/admin.
2. У поле Username ввести «admin».
3. У поле Password ввести «password».
4. Натиснути «Login».
5. Скопіювати адресу розділу номерів із адресного рядка.
6. Натиснути «Logout» у шапці адмінпанелі.
7. Вставити скопійовану адресу в адресний рядок і натиснути Enter.
8. Закрити вкладку.</t>
        </is>
      </c>
      <c r="F45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Адресу скопійовано.
6. Повернення на сторінку входу /admin.
7. Відкрито сторінку входу; вмісту адмінпанелі немає.
8. Вкладку закрито; кейс завершено.</t>
        </is>
      </c>
      <c r="G45" s="15" t="inlineStr">
        <is>
          <t>passed</t>
        </is>
      </c>
      <c r="H45" s="16" t="inlineStr">
        <is>
          <t>25.10.2026</t>
        </is>
      </c>
      <c r="I45" s="17" t="inlineStr">
        <is>
          <t>Як очікувалось</t>
        </is>
      </c>
      <c r="J45" s="16" t="n"/>
      <c r="K45" s="16" t="n"/>
      <c r="L45" s="16" t="inlineStr">
        <is>
          <t>Дятлов М.</t>
        </is>
      </c>
      <c r="M45" s="16" t="inlineStr">
        <is>
          <t>localhost (див. аркуш Environment); Chrome</t>
        </is>
      </c>
    </row>
    <row r="46" ht="129.75" customHeight="1" s="11">
      <c r="A46" s="15" t="inlineStr">
        <is>
          <t>TC-042</t>
        </is>
      </c>
      <c r="B46" s="15" t="inlineStr">
        <is>
          <t>S-10</t>
        </is>
      </c>
      <c r="C46" s="15" t="inlineStr">
        <is>
          <t>Сторінка входу /admin і запит входу працюють через HTTPS</t>
        </is>
      </c>
      <c r="D46" s="15" t="inlineStr">
        <is>
          <t>Chrome (поточна версія), нова сесія (інкогніто); обліковий запис адміністратора admin / password; demo https://automationintesting.online/admin доступне; DevTools → Network відкрито</t>
        </is>
      </c>
      <c r="E46" s="16" t="inlineStr">
        <is>
          <t>1. Відкрити https://automationintesting.online/admin.
2. Переглянути індикатор безпеки в адресному рядку.
3. У поле Username ввести «admin», у поле Password — «password» і натиснути «Login» (Network записує запит).
4. У Network знайти запит входу і переглянути поле Request URL.
5. Натиснути «Logout» у шапці адмінпанелі.</t>
        </is>
      </c>
      <c r="F46" s="16" t="inlineStr">
        <is>
          <t>1. Відкрито сторінку входу до адмінпанелі.
2. Адреса починається з https://; з'єднання позначено як захищене.
3. Відкрито розділ керування номерами.
4. Request URL починається з https://.
5. Повернення на сторінку входу /admin.</t>
        </is>
      </c>
      <c r="G46" s="15" t="inlineStr">
        <is>
          <t>blocked</t>
        </is>
      </c>
      <c r="H46" s="16" t="inlineStr">
        <is>
          <t>25.10.2026</t>
        </is>
      </c>
      <c r="I46" s="17" t="inlineStr">
        <is>
          <t>Не виконано: перевірку неможливо виконати на локальному стенді.</t>
        </is>
      </c>
      <c r="J46" s="16" t="inlineStr">
        <is>
          <t>—</t>
        </is>
      </c>
      <c r="K46" s="16" t="inlineStr">
        <is>
          <t>Локально немає HTTPS, S-10 перевірити неможливо. Issue не заводимо.</t>
        </is>
      </c>
      <c r="L46" s="16" t="inlineStr">
        <is>
          <t>Дятлов М.</t>
        </is>
      </c>
      <c r="M46" s="16" t="inlineStr">
        <is>
          <t>localhost (див. аркуш Environment); Chrome</t>
        </is>
      </c>
    </row>
    <row r="47" ht="156" customHeight="1" s="11">
      <c r="A47" s="15" t="inlineStr">
        <is>
          <t>TC-043</t>
        </is>
      </c>
      <c r="B47" s="15" t="inlineStr">
        <is>
          <t>F-90</t>
        </is>
      </c>
      <c r="C47" s="15" t="inlineStr">
        <is>
          <t>Розділ номерів показує перелік із номером, типом, доступністю, ціною і зручностями</t>
        </is>
      </c>
      <c r="D47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7" s="16" t="inlineStr">
        <is>
          <t>1. Відкрити https://automationintesting.online/admin.
2. У поле Username ввести «admin».
3. У поле Password ввести «password».
4. Натиснути «Login».
5. Переглянути перелік номерів.
6. Натиснути «Logout» у шапці адмінпанелі.</t>
        </is>
      </c>
      <c r="F47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Для кожного номера показано номер, тип, доступність, ціну і зручності.
6. Повернення на сторінку входу /admin.</t>
        </is>
      </c>
      <c r="G47" s="15" t="inlineStr">
        <is>
          <t>passed</t>
        </is>
      </c>
      <c r="H47" s="16" t="inlineStr">
        <is>
          <t>25.10.2026</t>
        </is>
      </c>
      <c r="I47" s="17" t="inlineStr">
        <is>
          <t>Як очікувалось</t>
        </is>
      </c>
      <c r="J47" s="16" t="n"/>
      <c r="K47" s="16" t="n"/>
      <c r="L47" s="16" t="inlineStr">
        <is>
          <t>Дятлов М.</t>
        </is>
      </c>
      <c r="M47" s="16" t="inlineStr">
        <is>
          <t>localhost (див. аркуш Environment); Chrome</t>
        </is>
      </c>
    </row>
    <row r="48" ht="441.75" customHeight="1" s="11">
      <c r="A48" s="15" t="inlineStr">
        <is>
          <t>TC-044</t>
        </is>
      </c>
      <c r="B48" s="15" t="inlineStr">
        <is>
          <t>F-90</t>
        </is>
      </c>
      <c r="C48" s="15" t="inlineStr">
        <is>
          <t>Створення номера T3-101 додає його в адмінпанель і в «Our Rooms»</t>
        </is>
      </c>
      <c r="D48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8" s="16" t="inlineStr">
        <is>
          <t>1. Відкрити https://automationintesting.online/admin.
2. У поле Username ввести «admin».
3. У поле Password ввести «password».
4. Натиснути «Login».
5. У поле назви/номера номера ввести «T3-101».
6. У полі типу вибрати «Double».
7. У полі «Accessible» вибрати «false».
8. У поле ціни за ніч ввести «137».
9. Позначити зручність «WiFi».
10. Позначити зручність «TV».
11. Натиснути «Create».
12. Відкрити https://automationintesting.online у новій вкладці.
13. Натиснути «Rooms» у меню.
14. Закрити нову вкладку і повернутися на вкладку адмінпанелі.
15. Прибирання: натиснути кнопку видалення біля номера T3-101.
16. Натиснути «Logout» у шапці адмінпанелі.
17. Закрити вкладку.</t>
        </is>
      </c>
      <c r="F48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Значення введено в поле; повідомлень про помилку немає.
9. Зручність позначено.
10. Зручність позначено.
11. Номер T3-101 з'являється у переліку адмінпанелі з типом Double, ціною 137, зручностями WiFi і TV.
12. Головна сторінка готелю завантажується.
13. У розділі «Our Rooms» є картка номера типу Double із ціною «£137 per night».
14. Активна вкладка адмінпанелі.
15. Номер T3-101 зникає з переліку адмінпанелі.
16. Повернення на сторінку входу /admin.
17. Вкладку закрито; кейс завершено.</t>
        </is>
      </c>
      <c r="G48" s="15" t="inlineStr">
        <is>
          <t>passed</t>
        </is>
      </c>
      <c r="H48" s="16" t="inlineStr">
        <is>
          <t>25.10.2026</t>
        </is>
      </c>
      <c r="I48" s="17" t="inlineStr">
        <is>
          <t>Як очікувалось</t>
        </is>
      </c>
      <c r="J48" s="16" t="n"/>
      <c r="K48" s="16" t="n"/>
      <c r="L48" s="16" t="inlineStr">
        <is>
          <t>Дятлов М.</t>
        </is>
      </c>
      <c r="M48" s="16" t="inlineStr">
        <is>
          <t>localhost (див. аркуш Environment); Chrome</t>
        </is>
      </c>
    </row>
    <row r="49" ht="363.75" customHeight="1" s="11">
      <c r="A49" s="15" t="inlineStr">
        <is>
          <t>TC-045</t>
        </is>
      </c>
      <c r="B49" s="15" t="inlineStr">
        <is>
          <t>F-90</t>
        </is>
      </c>
      <c r="C49" s="15" t="inlineStr">
        <is>
          <t>Видалення номера T3-102 прибирає його з адмінпанелі і з «Our Rooms»</t>
        </is>
      </c>
      <c r="D49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49" s="16" t="inlineStr">
        <is>
          <t>1. Відкрити https://automationintesting.online/admin.
2. У поле Username ввести «admin».
3. У поле Password ввести «password».
4. Натиснути «Login».
5. У поле назви/номера номера ввести «T3-102».
6. У полі типу вибрати «Single».
7. У поле ціни за ніч ввести «138».
8. Натиснути «Create».
9. Натиснути кнопку видалення біля номера T3-102.
10. Відкрити https://automationintesting.online у новій вкладці.
11. Натиснути «Rooms» у меню.
12. Закрити нову вкладку і повернутися на вкладку адмінпанелі.
13. Натиснути «Logout» у шапці адмінпанелі.
14. Закрити вкладку.</t>
        </is>
      </c>
      <c r="F49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Номер T3-102 з'являється у переліку адмінпанелі.
9. Номер T3-102 зникає з переліку адмінпанелі.
10. Головна сторінка готелю завантажується.
11. У розділі «Our Rooms» немає картки з типом Single і ціною «£138 per night».
12. Активна вкладка адмінпанелі.
13. Повернення на сторінку входу /admin.
14. Вкладку закрито; кейс завершено.</t>
        </is>
      </c>
      <c r="G49" s="15" t="inlineStr">
        <is>
          <t>passed</t>
        </is>
      </c>
      <c r="H49" s="16" t="inlineStr">
        <is>
          <t>25.10.2026</t>
        </is>
      </c>
      <c r="I49" s="17" t="inlineStr">
        <is>
          <t>Як очікувалось</t>
        </is>
      </c>
      <c r="J49" s="16" t="n"/>
      <c r="K49" s="16" t="n"/>
      <c r="L49" s="16" t="inlineStr">
        <is>
          <t>Дятлов М.</t>
        </is>
      </c>
      <c r="M49" s="16" t="inlineStr">
        <is>
          <t>localhost (див. аркуш Environment); Chrome</t>
        </is>
      </c>
    </row>
    <row r="50" ht="390" customHeight="1" s="11">
      <c r="A50" s="15" t="inlineStr">
        <is>
          <t>TC-046</t>
        </is>
      </c>
      <c r="B50" s="15" t="inlineStr">
        <is>
          <t>F-100</t>
        </is>
      </c>
      <c r="C50" s="15" t="inlineStr">
        <is>
          <t>Адмін бачить у переліку повідомлень ім'я відправника, тему і позначку непрочитаного</t>
        </is>
      </c>
      <c r="D50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50" s="16" t="inlineStr">
        <is>
          <t>1. Відкрити https://automationintesting.online.
2. Натиснути «Contact» у меню.
3. У поле Name ввести T3-Reader.
4. У поле Email ввести t3.guest@example.com.
5. У поле Phone ввести +380001234567.
6. У поле Subject ввести T3-Unread check.
7. У поле Message ввести T3 test message about booking dates.
8. Натиснути «Submit».
9. Відкрити https://automationintesting.online/admin у новій вкладці.
10. У поле Username ввести «admin».
11. У поле Password ввести «password».
12. Натиснути «Login».
13. Відкрити розділ повідомлень адмінпанелі.
14. Знайти повідомлення від «T3-Reader».
15. Натиснути «Logout» у шапці адмінпанелі.</t>
        </is>
      </c>
      <c r="F50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Показано подяку з іменем «T3-Reader» і темою «T3-Unread check».
9. Відкрито сторінку входу.
10. Значення введено в поле; повідомлень про помилку немає.
11. Символи пароля маскуються.
12. Відкрито розділ керування номерами зі списком номерів.
13. Показано перелік повідомлень.
14. У переліку є ім'я відправника «T3-Reader» і тема «T3-Unread check»; повідомлення позначено як непрочитане.
15. Повернення на сторінку входу /admin.</t>
        </is>
      </c>
      <c r="G50" s="15" t="inlineStr">
        <is>
          <t>passed</t>
        </is>
      </c>
      <c r="H50" s="16" t="inlineStr">
        <is>
          <t>25.10.2026</t>
        </is>
      </c>
      <c r="I50" s="17" t="inlineStr">
        <is>
          <t>Як очікувалось</t>
        </is>
      </c>
      <c r="J50" s="16" t="n"/>
      <c r="K50" s="16" t="n"/>
      <c r="L50" s="16" t="inlineStr">
        <is>
          <t>Дятлов М.</t>
        </is>
      </c>
      <c r="M50" s="16" t="inlineStr">
        <is>
          <t>localhost (див. аркуш Environment); Chrome</t>
        </is>
      </c>
    </row>
    <row r="51" ht="390" customHeight="1" s="11">
      <c r="A51" s="15" t="inlineStr">
        <is>
          <t>TC-047</t>
        </is>
      </c>
      <c r="B51" s="15" t="inlineStr">
        <is>
          <t>F-100</t>
        </is>
      </c>
      <c r="C51" s="15" t="inlineStr">
        <is>
          <t>Відкриття повідомлення позначає його прочитаним і прибирає з непрочитаних</t>
        </is>
      </c>
      <c r="D51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51" s="16" t="inlineStr">
        <is>
          <t>1. Відкрити https://automationintesting.online.
2. Натиснути «Contact» у меню.
3. У поле Name ввести T3-Opener.
4. У поле Email ввести t3.guest@example.com.
5. У поле Phone ввести +380001234567.
6. У поле Subject ввести T3-Open check.
7. У поле Message ввести T3 test message about booking dates.
8. Натиснути «Submit».
9. Відкрити https://automationintesting.online/admin у новій вкладці.
10. У поле Username ввести «admin».
11. У поле Password ввести «password».
12. Натиснути «Login».
13. Відкрити розділ повідомлень і натиснути на повідомлення від «T3-Opener».
14. Закрити вікно повідомлення і переглянути перелік.
15. Натиснути «Logout» у шапці адмінпанелі.</t>
        </is>
      </c>
      <c r="F51" s="16" t="inlineStr">
        <is>
          <t>1. Головна сторінка готелю завантажується.
2. Сторінку прокручено до розділу «Send Us a Message».
3. Значення введено в поле; повідомлень про помилку немає.
4. Значення введено в поле; повідомлень про помилку немає.
5. Значення введено в поле; повідомлень про помилку немає.
6. Значення введено в поле; повідомлень про помилку немає.
7. Значення введено в поле; повідомлень про помилку немає.
8. Показано подяку з іменем «T3-Opener».
9. Відкрито сторінку входу.
10. Значення введено в поле; повідомлень про помилку немає.
11. Символи пароля маскуються.
12. Відкрито розділ керування номерами зі списком номерів.
13. Повідомлення відкрито.
14. Повідомлення від «T3-Opener» більше не має позначки непрочитаного.
15. Повернення на сторінку входу /admin.</t>
        </is>
      </c>
      <c r="G51" s="15" t="inlineStr">
        <is>
          <t>passed</t>
        </is>
      </c>
      <c r="H51" s="16" t="inlineStr">
        <is>
          <t>25.10.2026</t>
        </is>
      </c>
      <c r="I51" s="17" t="inlineStr">
        <is>
          <t>Як очікувалось</t>
        </is>
      </c>
      <c r="J51" s="16" t="n"/>
      <c r="K51" s="16" t="n"/>
      <c r="L51" s="16" t="inlineStr">
        <is>
          <t>Дятлов М.</t>
        </is>
      </c>
      <c r="M51" s="16" t="inlineStr">
        <is>
          <t>localhost (див. аркуш Environment); Chrome</t>
        </is>
      </c>
    </row>
    <row r="52" ht="207.75" customHeight="1" s="11">
      <c r="A52" s="15" t="inlineStr">
        <is>
          <t>TC-048</t>
        </is>
      </c>
      <c r="B52" s="15" t="inlineStr">
        <is>
          <t>F-120</t>
        </is>
      </c>
      <c r="C52" s="15" t="inlineStr">
        <is>
          <t>Звіт заповнюваності: для минулого періоду — за фактичними даними, для майбутнього — з позначкою «Прогноз»</t>
        </is>
      </c>
      <c r="D52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52" s="16" t="inlineStr">
        <is>
          <t>1. Відкрити https://automationintesting.online/admin.
2. У поле Username ввести «admin».
3. У поле Password ввести «password».
4. Натиснути «Login».
5. Відкрити розділ звітів («Report») у меню адмінпанелі.
6. Вибрати період «сьогодні − 30 … сьогодні − 25» і переглянути звіт.
7. Вибрати період «сьогодні + 30 … сьогодні + 35» і переглянути звіт.
8. Натиснути «Logout» у шапці адмінпанелі.</t>
        </is>
      </c>
      <c r="F52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Відкрито звіт заповнюваності номерів.
6. Показано заповнюваність (частку зайнятих ночей) за вибраний період; позначки «Прогноз» немає.
7. Показано заповнюваність за підтвердженими бронюваннями; звіт має позначку «Прогноз».
8. Повернення на сторінку входу /admin.</t>
        </is>
      </c>
      <c r="G52" s="15" t="inlineStr">
        <is>
          <t>failed</t>
        </is>
      </c>
      <c r="H52" s="16" t="inlineStr">
        <is>
          <t>25.10.2026</t>
        </is>
      </c>
      <c r="I52" s="17" t="inlineStr">
        <is>
          <t>[ВСТАВИТИ, що саме показав звіт: чи є вибір періоду, чи є позначка «Прогноз», які значення]</t>
        </is>
      </c>
      <c r="J52" s="16" t="inlineStr">
        <is>
          <t>[#?]</t>
        </is>
      </c>
      <c r="K52" s="16" t="n"/>
      <c r="L52" s="16" t="inlineStr">
        <is>
          <t>Дятлов М.</t>
        </is>
      </c>
      <c r="M52" s="16" t="inlineStr">
        <is>
          <t>localhost (див. аркуш Environment); Chrome</t>
        </is>
      </c>
    </row>
    <row r="53" ht="156" customHeight="1" s="11">
      <c r="A53" s="15" t="inlineStr">
        <is>
          <t>TC-049</t>
        </is>
      </c>
      <c r="B53" s="15" t="inlineStr">
        <is>
          <t>F-130</t>
        </is>
      </c>
      <c r="C53" s="15" t="inlineStr">
        <is>
          <t>Перезавантаження сторінки не завершує сесію адміністратора</t>
        </is>
      </c>
      <c r="D53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53" s="16" t="inlineStr">
        <is>
          <t>1. Відкрити https://automationintesting.online/admin.
2. У поле Username ввести «admin».
3. У поле Password ввести «password».
4. Натиснути «Login».
5. Натиснути F5 (перезавантажити сторінку).
6. Натиснути «Logout» у шапці адмінпанелі.</t>
        </is>
      </c>
      <c r="F53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Сторінка перезавантажена; адмінпанель відкрита без повторного входу.
6. Повернення на сторінку входу /admin.</t>
        </is>
      </c>
      <c r="G53" s="15" t="inlineStr">
        <is>
          <t>passed</t>
        </is>
      </c>
      <c r="H53" s="16" t="inlineStr">
        <is>
          <t>25.10.2026</t>
        </is>
      </c>
      <c r="I53" s="17" t="inlineStr">
        <is>
          <t>Як очікувалось</t>
        </is>
      </c>
      <c r="J53" s="16" t="n"/>
      <c r="K53" s="16" t="n"/>
      <c r="L53" s="16" t="inlineStr">
        <is>
          <t>Дятлов М.</t>
        </is>
      </c>
      <c r="M53" s="16" t="inlineStr">
        <is>
          <t>localhost (див. аркуш Environment); Chrome</t>
        </is>
      </c>
    </row>
    <row r="54" ht="181.5" customHeight="1" s="11">
      <c r="A54" s="15" t="inlineStr">
        <is>
          <t>TC-050</t>
        </is>
      </c>
      <c r="B54" s="15" t="inlineStr">
        <is>
          <t>F-130, S-20</t>
        </is>
      </c>
      <c r="C54" s="15" t="inlineStr">
        <is>
          <t>Сесія адміністратора завершується після 30 хвилин неактивності</t>
        </is>
      </c>
      <c r="D54" s="15" t="inlineStr">
        <is>
          <t>Chrome (поточна версія), нова сесія (інкогніто); обліковий запис адміністратора admin / password; demo https://automationintesting.online/admin доступне</t>
        </is>
      </c>
      <c r="E54" s="16" t="inlineStr">
        <is>
          <t>1. Відкрити https://automationintesting.online/admin.
2. У поле Username ввести «admin».
3. У поле Password ввести «password».
4. Натиснути «Login».
5. Не виконувати жодних дій у вкладці 31 хвилину.
6. Натиснути «Rooms» у шапці адмінпанелі.
7. Закрити вкладку.</t>
        </is>
      </c>
      <c r="F54" s="16" t="inlineStr">
        <is>
          <t>1. Відкрито сторінку входу до адмінпанелі.
2. Значення введено в поле; повідомлень про помилку немає.
3. Символи пароля маскуються.
4. Відкрито розділ керування номерами зі списком номерів.
5. Минуло 31 хвилину.
6. Відкрито сторінку входу; доступ до адмінпанелі потребує повторного входу.
7. Вкладку закрито; кейс завершено.</t>
        </is>
      </c>
      <c r="G54" s="15" t="inlineStr">
        <is>
          <t>failed</t>
        </is>
      </c>
      <c r="H54" s="15" t="inlineStr">
        <is>
          <t>25.10.2026</t>
        </is>
      </c>
      <c r="I54" s="21" t="inlineStr">
        <is>
          <t>Вхід admin/password о 15:09. Через 31 хв (о 15:41) натискання «Rooms» залишило адмінпанель відкритою (/admin/rooms, список номерів 101–103, кнопка Logout); сторінку входу не показано.</t>
        </is>
      </c>
      <c r="J54" s="16" t="inlineStr">
        <is>
          <t>[#?]</t>
        </is>
      </c>
      <c r="K54" s="15" t="inlineStr">
        <is>
          <t>Час виконання 15:09–15:41. Виконано у звичайному вікні Chrome (не інкогніто). Скріншот — у Issue.</t>
        </is>
      </c>
      <c r="L54" s="15" t="inlineStr">
        <is>
          <t>Дятлов М.</t>
        </is>
      </c>
      <c r="M54" s="15" t="inlineStr">
        <is>
          <t>localhost (див. аркуш Environment); Chrome</t>
        </is>
      </c>
    </row>
    <row r="55" ht="207.75" customHeight="1" s="11">
      <c r="A55" s="15" t="inlineStr">
        <is>
          <t>TC-051</t>
        </is>
      </c>
      <c r="B55" s="15" t="inlineStr">
        <is>
          <t>GUI-20</t>
        </is>
      </c>
      <c r="C55" s="15" t="inlineStr">
        <is>
          <t>Поля Check In і Check Out показують дату у форматі мм/дд/рррр і відкривають календар (формат РРРР-ММ-ДД у URL — див. TC-007)</t>
        </is>
      </c>
      <c r="D55" s="15" t="inlineStr">
        <is>
          <t>Chrome (поточна версія), нова сесія (інкогніто); без входу; demo https://automationintesting.online доступне</t>
        </is>
      </c>
      <c r="E55" s="16" t="inlineStr">
        <is>
          <t>1. Відкрити https://automationintesting.online.
2. Натиснути у поле Check In.
3. У календарі вибрати 25-те число наступного місяця.
4. Переглянути значення у полі Check In.
5. Натиснути у поле Check Out.
6. У календарі вибрати 27-ме число наступного місяця.
7. Переглянути значення у полі Check Out.
8. Закрити вкладку.</t>
        </is>
      </c>
      <c r="F55" s="16" t="inlineStr">
        <is>
          <t>1. Головна сторінка готелю завантажується.
2. Відкривається календар.
3. Календар закрито.
4. Значення має вигляд мм/25/рррр (наступний місяць, 25 число); формат мм/дд/рррр.
5. Відкривається календар.
6. Календар закрито.
7. Значення має вигляд мм/27/рррр (наступний місяць, 27 число); формат мм/дд/рррр.
8. Вкладку закрито; кейс завершено.</t>
        </is>
      </c>
      <c r="G55" s="15" t="inlineStr">
        <is>
          <t>passed</t>
        </is>
      </c>
      <c r="H55" s="16" t="inlineStr">
        <is>
          <t>25.10.2026</t>
        </is>
      </c>
      <c r="I55" s="17" t="inlineStr">
        <is>
          <t>Як очікувалось</t>
        </is>
      </c>
      <c r="J55" s="16" t="n"/>
      <c r="K55" s="16" t="n"/>
      <c r="L55" s="16" t="inlineStr">
        <is>
          <t>Дятлов М.</t>
        </is>
      </c>
      <c r="M55" s="16" t="inlineStr">
        <is>
          <t>localhost (див. аркуш Environment); Chrome</t>
        </is>
      </c>
    </row>
    <row r="56" ht="129.75" customHeight="1" s="11">
      <c r="A56" s="15" t="inlineStr">
        <is>
          <t>TC-052</t>
        </is>
      </c>
      <c r="B56" s="15" t="inlineStr">
        <is>
          <t>GUI-90</t>
        </is>
      </c>
      <c r="C56" s="15" t="inlineStr">
        <is>
          <t>Екран 1366 px: немає перекриття елементів, обрізаного тексту і горизонтального прокручування</t>
        </is>
      </c>
      <c r="D56" s="15" t="inlineStr">
        <is>
          <t>Chrome або Firefox (поточна версія) — кейс виконується двічі — у Chrome і в Firefox; у журналі виконання два окремі рядки, по одному на браузер; DevTools → режим адаптивного екрана</t>
        </is>
      </c>
      <c r="E56" s="16" t="inlineStr">
        <is>
          <t>1. Відкрити DevTools → режим адаптивного екрана і встановити розмір 1366×768.
2. Відкрити https://automationintesting.online.
3. Прокрутити сторінку зверху донизу.
4. Спробувати прокрутити сторінку вліво-вправо.
5. Закрити вкладку.</t>
        </is>
      </c>
      <c r="F56" s="16" t="inlineStr">
        <is>
          <t>1. Розмір вікна встановлено.
2. Головна сторінка готелю завантажується.
3. Елементи не перекриваються; текст не обрізаний.
4. Горизонтального прокручування немає.
5. Вкладку закрито; кейс завершено.</t>
        </is>
      </c>
      <c r="G56" s="15" t="inlineStr">
        <is>
          <t>passed</t>
        </is>
      </c>
      <c r="H56" s="16" t="inlineStr">
        <is>
          <t>25.10.2026</t>
        </is>
      </c>
      <c r="I56" s="17" t="inlineStr">
        <is>
          <t>Як очікувалось</t>
        </is>
      </c>
      <c r="J56" s="16" t="n"/>
      <c r="K56" s="16" t="inlineStr">
        <is>
          <t>Chrome [версія]</t>
        </is>
      </c>
      <c r="L56" s="16" t="inlineStr">
        <is>
          <t>Дятлов М.</t>
        </is>
      </c>
      <c r="M56" s="16" t="inlineStr">
        <is>
          <t>localhost (див. аркуш Environment); Chrome</t>
        </is>
      </c>
    </row>
    <row r="57" ht="129.75" customHeight="1" s="11">
      <c r="A57" s="15" t="inlineStr">
        <is>
          <t>TC-052</t>
        </is>
      </c>
      <c r="B57" s="15" t="inlineStr">
        <is>
          <t>GUI-90</t>
        </is>
      </c>
      <c r="C57" s="15" t="inlineStr">
        <is>
          <t>Екран 1366 px: немає перекриття елементів, обрізаного тексту і горизонтального прокручування</t>
        </is>
      </c>
      <c r="D57" s="15" t="inlineStr">
        <is>
          <t>Chrome або Firefox (поточна версія) — кейс виконується двічі — у Chrome і в Firefox; у журналі виконання два окремі рядки, по одному на браузер; DevTools → режим адаптивного екрана</t>
        </is>
      </c>
      <c r="E57" s="16" t="inlineStr">
        <is>
          <t>1. Відкрити DevTools → режим адаптивного екрана і встановити розмір 1366×768.
2. Відкрити https://automationintesting.online.
3. Прокрутити сторінку зверху донизу.
4. Спробувати прокрутити сторінку вліво-вправо.
5. Закрити вкладку.</t>
        </is>
      </c>
      <c r="F57" s="16" t="inlineStr">
        <is>
          <t>1. Розмір вікна встановлено.
2. Головна сторінка готелю завантажується.
3. Елементи не перекриваються; текст не обрізаний.
4. Горизонтального прокручування немає.
5. Вкладку закрито; кейс завершено.</t>
        </is>
      </c>
      <c r="G57" s="15" t="n"/>
      <c r="H57" s="16" t="n"/>
      <c r="I57" s="16" t="n"/>
      <c r="J57" s="16" t="n"/>
      <c r="K57" s="16" t="inlineStr">
        <is>
          <t>Firefox [версія] — виконати і вписати результат</t>
        </is>
      </c>
      <c r="L57" s="16" t="inlineStr">
        <is>
          <t>Дятлов М.</t>
        </is>
      </c>
      <c r="M57" s="16" t="inlineStr">
        <is>
          <t>localhost (див. аркуш Environment); Firefox</t>
        </is>
      </c>
    </row>
    <row r="58" ht="129.75" customHeight="1" s="11">
      <c r="A58" s="15" t="inlineStr">
        <is>
          <t>TC-053</t>
        </is>
      </c>
      <c r="B58" s="15" t="inlineStr">
        <is>
          <t>GUI-90</t>
        </is>
      </c>
      <c r="C58" s="15" t="inlineStr">
        <is>
          <t>Екран 375 px: немає перекриття елементів, обрізаного тексту і горизонтального прокручування</t>
        </is>
      </c>
      <c r="D58" s="15" t="inlineStr">
        <is>
          <t>Chrome або Firefox (поточна версія) — кейс виконується двічі — у Chrome і в Firefox; у журналі виконання два окремі рядки, по одному на браузер; DevTools → режим адаптивного екрана</t>
        </is>
      </c>
      <c r="E58" s="16" t="inlineStr">
        <is>
          <t>1. Відкрити DevTools → режим адаптивного екрана і встановити розмір 375×667.
2. Відкрити https://automationintesting.online.
3. Прокрутити сторінку зверху донизу.
4. Спробувати прокрутити сторінку вліво-вправо.
5. Закрити вкладку.</t>
        </is>
      </c>
      <c r="F58" s="16" t="inlineStr">
        <is>
          <t>1. Розмір вікна встановлено.
2. Головна сторінка готелю завантажується.
3. Елементи не перекриваються; текст не обрізаний.
4. Горизонтального прокручування немає.
5. Вкладку закрито; кейс завершено.</t>
        </is>
      </c>
      <c r="G58" s="15" t="inlineStr">
        <is>
          <t>passed</t>
        </is>
      </c>
      <c r="H58" s="16" t="inlineStr">
        <is>
          <t>25.10.2026</t>
        </is>
      </c>
      <c r="I58" s="17" t="inlineStr">
        <is>
          <t>Як очікувалось</t>
        </is>
      </c>
      <c r="J58" s="16" t="n"/>
      <c r="K58" s="16" t="inlineStr">
        <is>
          <t>Chrome [версія]</t>
        </is>
      </c>
      <c r="L58" s="16" t="inlineStr">
        <is>
          <t>Дятлов М.</t>
        </is>
      </c>
      <c r="M58" s="16" t="inlineStr">
        <is>
          <t>localhost (див. аркуш Environment); Chrome</t>
        </is>
      </c>
    </row>
    <row r="59" ht="129.75" customHeight="1" s="11">
      <c r="A59" s="15" t="inlineStr">
        <is>
          <t>TC-053</t>
        </is>
      </c>
      <c r="B59" s="15" t="inlineStr">
        <is>
          <t>GUI-90</t>
        </is>
      </c>
      <c r="C59" s="15" t="inlineStr">
        <is>
          <t>Екран 375 px: немає перекриття елементів, обрізаного тексту і горизонтального прокручування</t>
        </is>
      </c>
      <c r="D59" s="15" t="inlineStr">
        <is>
          <t>Chrome або Firefox (поточна версія) — кейс виконується двічі — у Chrome і в Firefox; у журналі виконання два окремі рядки, по одному на браузер; DevTools → режим адаптивного екрана</t>
        </is>
      </c>
      <c r="E59" s="16" t="inlineStr">
        <is>
          <t>1. Відкрити DevTools → режим адаптивного екрана і встановити розмір 375×667.
2. Відкрити https://automationintesting.online.
3. Прокрутити сторінку зверху донизу.
4. Спробувати прокрутити сторінку вліво-вправо.
5. Закрити вкладку.</t>
        </is>
      </c>
      <c r="F59" s="16" t="inlineStr">
        <is>
          <t>1. Розмір вікна встановлено.
2. Головна сторінка готелю завантажується.
3. Елементи не перекриваються; текст не обрізаний.
4. Горизонтального прокручування немає.
5. Вкладку закрито; кейс завершено.</t>
        </is>
      </c>
      <c r="G59" s="15" t="n"/>
      <c r="H59" s="16" t="n"/>
      <c r="I59" s="16" t="n"/>
      <c r="J59" s="16" t="n"/>
      <c r="K59" s="16" t="inlineStr">
        <is>
          <t>Firefox [версія] — виконати і вписати результат</t>
        </is>
      </c>
      <c r="L59" s="16" t="inlineStr">
        <is>
          <t>Дятлов М.</t>
        </is>
      </c>
      <c r="M59" s="16" t="inlineStr">
        <is>
          <t>localhost (див. аркуш Environment); Firefox</t>
        </is>
      </c>
    </row>
    <row r="60" ht="312" customHeight="1" s="11">
      <c r="A60" s="15" t="inlineStr">
        <is>
          <t>TC-054</t>
        </is>
      </c>
      <c r="B60" s="15" t="inlineStr">
        <is>
          <t>U-20</t>
        </is>
      </c>
      <c r="C60" s="15" t="inlineStr">
        <is>
          <t>Форми бронювання і контактна оформлені однаково: назви полів у підказках, помилки над кнопкою</t>
        </is>
      </c>
      <c r="D60" s="15" t="inlineStr">
        <is>
          <t>Chrome (поточна версія), нова сесія (інкогніто); без входу; demo https://automationintesting.online доступне; DevTools (F12) → Network відкрито, фільтр «checkin»</t>
        </is>
      </c>
      <c r="E60" s="16" t="inlineStr">
        <is>
          <t>1. Відкрити https://automationintesting.online.
2. У поле Check In віджета ввести дату «сьогодні + 130 днів» у форматі мм/дд/рррр.
3. У поле Check Out віджета ввести дату «сьогодні + 132 дні» у форматі мм/дд/рррр.
4. Натиснути «Check Availability».
5. Натиснути «Book now» на першій картці номера в переліку.
6. Натиснути «Reserve Now» на сторінці номера.
7. Переглянути поля форми бронювання.
8. Натиснути «Reserve Now» з порожніми полями.
9. Відкрити https://automationintesting.online у цій самій вкладці й натиснути «Contact».
10. Переглянути поля контактної форми.
11. Натиснути «Submit» з порожніми полями.
12. Закрити вкладку.</t>
        </is>
      </c>
      <c r="F60" s="16" t="inlineStr">
        <is>
          <t>1. Головна сторінка готелю завантажується.
2. У полі показано введену дату.
3. У полі показано введену дату.
4. У Network з'являється новий запит, URL якого містить checkin і checkout, що дорівнюють введеним датам у форматі РРРР-ММ-ДД.
5. Відкрито сторінку номера /reservation/{id}; у календарі виділено вибраний інтервал.
6. З'являється форма бронювання.
7. Назви полів подано підказками (placeholder).
8. Перелік помилок показано над кнопкою «Reserve Now».
9. Сторінку прокручено до форми «Send Us a Message».
10. Назви полів подано підказками (placeholder).
11. Перелік помилок показано над кнопкою «Submit».
12. Вкладку закрито; кейс завершено.</t>
        </is>
      </c>
      <c r="G60" s="15" t="inlineStr">
        <is>
          <t>passed</t>
        </is>
      </c>
      <c r="H60" s="16" t="inlineStr">
        <is>
          <t>25.10.2026</t>
        </is>
      </c>
      <c r="I60" s="17" t="inlineStr">
        <is>
          <t>Як очікувалось</t>
        </is>
      </c>
      <c r="J60" s="16" t="n"/>
      <c r="K60" s="16" t="n"/>
      <c r="L60" s="16" t="inlineStr">
        <is>
          <t>Дятлов М.</t>
        </is>
      </c>
      <c r="M60" s="16" t="inlineStr">
        <is>
          <t>localhost (див. аркуш Environment); Chrome</t>
        </is>
      </c>
    </row>
    <row r="61" ht="181.5" customHeight="1" s="11">
      <c r="A61" s="15" t="inlineStr">
        <is>
          <t>TC-055</t>
        </is>
      </c>
      <c r="B61" s="15" t="inlineStr">
        <is>
          <t>P-10</t>
        </is>
      </c>
      <c r="C61" s="15" t="inlineStr">
        <is>
          <t>Головна сторінка зі списком номерів завантажується не довше ніж за 3 с на каналі 10 Мбіт/с</t>
        </is>
      </c>
      <c r="D61" s="15" t="inlineStr">
        <is>
          <t>Chrome (поточна версія), нова сесія (інкогніто); без входу; demo https://automationintesting.online доступне</t>
        </is>
      </c>
      <c r="E61" s="16" t="inlineStr">
        <is>
          <t>1. Відкрити DevTools (F12) і перейти на вкладку Network.
2. Увімкнути прапорець Disable cache.
3. Створити профіль Throttling із download 10 Мбіт/с і вибрати його.
4. Відкрити https://automationintesting.online.
5. Дочекатися появи розділу «Our Rooms» із картками номерів.
6. Переглянути у нижньому рядку Network значення Finish (час завершення останнього запиту, у тому числі запиту зі списком номерів).
7. Закрити вкладку.</t>
        </is>
      </c>
      <c r="F61" s="16" t="inlineStr">
        <is>
          <t>1. Вкладку Network відкрито.
2. Прапорець увімкнено.
3. Профіль вибрано.
4. Головна сторінка готелю завантажується.
5. Картки номерів відображаються.
6. Finish не перевищує 3 с.
7. Вкладку закрито; кейс завершено.</t>
        </is>
      </c>
      <c r="G61" s="15" t="inlineStr">
        <is>
          <t>passed</t>
        </is>
      </c>
      <c r="H61" s="16" t="inlineStr">
        <is>
          <t>25.10.2026</t>
        </is>
      </c>
      <c r="I61" s="17" t="inlineStr">
        <is>
          <t>Як очікувалось</t>
        </is>
      </c>
      <c r="J61" s="16" t="n"/>
      <c r="K61" s="16" t="n"/>
      <c r="L61" s="16" t="inlineStr">
        <is>
          <t>Дятлов М.</t>
        </is>
      </c>
      <c r="M61" s="16" t="inlineStr">
        <is>
          <t>localhost (див. аркуш Environment); Chrome</t>
        </is>
      </c>
    </row>
    <row r="62" ht="13.8" customHeight="1" s="11">
      <c r="C62" s="23" t="inlineStr">
        <is>
          <t>passed</t>
        </is>
      </c>
      <c r="D62" s="23">
        <f>COUNTIF($G$5:$G$59,C62)</f>
        <v/>
      </c>
    </row>
    <row r="63" ht="13.8" customHeight="1" s="11">
      <c r="C63" s="23" t="inlineStr">
        <is>
          <t>failed</t>
        </is>
      </c>
      <c r="D63" s="23">
        <f>COUNTIF($G$5:$G$59,C63)</f>
        <v/>
      </c>
    </row>
    <row r="64" ht="13.8" customHeight="1" s="11">
      <c r="C64" s="23" t="inlineStr">
        <is>
          <t>blocked</t>
        </is>
      </c>
      <c r="D64" s="23">
        <f>COUNTIF($G$5:$G$59,C64)</f>
        <v/>
      </c>
    </row>
    <row r="65" ht="13.8" customHeight="1" s="11">
      <c r="C65" s="23" t="inlineStr">
        <is>
          <t>skipped</t>
        </is>
      </c>
      <c r="D65" s="23">
        <f>COUNTIF($G$5:$G$59,C65)</f>
        <v/>
      </c>
    </row>
    <row r="66" ht="13.8" customHeight="1" s="11">
      <c r="C66" s="23" t="inlineStr">
        <is>
          <t>Ще не виконано</t>
        </is>
      </c>
      <c r="D66" s="23">
        <f>COUNTA($A$5:$A$59)-SUM(D62:D65)</f>
        <v/>
      </c>
    </row>
    <row r="67" ht="13.8" customHeight="1" s="11">
      <c r="C67" s="24" t="inlineStr">
        <is>
          <t>Усього кейсів</t>
        </is>
      </c>
      <c r="D67" s="24">
        <f>COUNTA($A$5:$A$59)</f>
        <v/>
      </c>
    </row>
  </sheetData>
  <dataValidations count="1">
    <dataValidation sqref="G5:G61" showDropDown="0" showInputMessage="0" showErrorMessage="0" allowBlank="1" type="list">
      <formula1>"passed,failed,blocked,skipped"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" min="1" max="1"/>
    <col width="80" customWidth="1" style="10" min="2" max="2"/>
  </cols>
  <sheetData>
    <row r="1" ht="12.8" customHeight="1" s="11">
      <c r="A1" s="18" t="inlineStr">
        <is>
          <t>Параметр</t>
        </is>
      </c>
      <c r="B1" s="18" t="inlineStr">
        <is>
          <t>Значення</t>
        </is>
      </c>
    </row>
    <row r="2" ht="12.8" customHeight="1" s="11">
      <c r="A2" s="15" t="inlineStr">
        <is>
          <t>Продукт</t>
        </is>
      </c>
      <c r="B2" s="15" t="inlineStr">
        <is>
          <t>«restful-booker-platform», локальне розгортання за вказівкою викладача</t>
        </is>
      </c>
    </row>
    <row r="3" ht="12.8" customHeight="1" s="11">
      <c r="A3" s="15" t="inlineStr">
        <is>
          <t>Адмінпанель</t>
        </is>
      </c>
      <c r="B3" s="15" t="inlineStr">
        <is>
          <t>http://localhost:[порт]/admin (admin / password)</t>
        </is>
      </c>
    </row>
    <row r="4" ht="12.8" customHeight="1" s="11">
      <c r="A4" s="15" t="inlineStr">
        <is>
          <t>Браузер, версія</t>
        </is>
      </c>
      <c r="B4" s="15" t="inlineStr">
        <is>
          <t>Chrome [версія]</t>
        </is>
      </c>
    </row>
    <row r="5" ht="12.8" customHeight="1" s="11">
      <c r="A5" s="15" t="inlineStr">
        <is>
          <t>Додатковий браузер</t>
        </is>
      </c>
      <c r="B5" s="15" t="inlineStr">
        <is>
          <t>Firefox [версія]</t>
        </is>
      </c>
    </row>
    <row r="6" ht="12.8" customHeight="1" s="11">
      <c r="A6" s="15" t="inlineStr">
        <is>
          <t>ОС</t>
        </is>
      </c>
      <c r="B6" s="15" t="inlineStr">
        <is>
          <t>[Windows/macOS, версія]</t>
        </is>
      </c>
    </row>
    <row r="7" ht="12.8" customHeight="1" s="11">
      <c r="A7" s="15" t="inlineStr">
        <is>
          <t>Роздільність екрана</t>
        </is>
      </c>
      <c r="B7" s="15" t="inlineStr">
        <is>
          <t>1366×768; мобільний режим 375 px</t>
        </is>
      </c>
    </row>
    <row r="8" ht="12.8" customHeight="1" s="11">
      <c r="A8" s="15" t="inlineStr">
        <is>
          <t>Дата та час Run 1</t>
        </is>
      </c>
      <c r="B8" s="15" t="inlineStr">
        <is>
          <t>25.10.2026, 14:30–16:20 (початок і кінець Run 1)</t>
        </is>
      </c>
    </row>
    <row r="9" ht="12.8" customHeight="1" s="11">
      <c r="A9" s="15" t="inlineStr">
        <is>
          <t>Версія специфікації</t>
        </is>
      </c>
      <c r="B9" s="15" t="inlineStr">
        <is>
          <t>SRS 1.1 (docs/sprint2/SRS-1.1.md)</t>
        </is>
      </c>
    </row>
    <row r="10" ht="12.8" customHeight="1" s="11">
      <c r="A10" s="15" t="inlineStr">
        <is>
          <t>Версія тест-кейсів</t>
        </is>
      </c>
      <c r="B10" s="15" t="inlineStr">
        <is>
          <t>docs/sprint3/test-cases.xlsx, коміт 6cc8f78</t>
        </is>
      </c>
    </row>
    <row r="11" ht="12.8" customHeight="1" s="11">
      <c r="A11" s="15" t="inlineStr">
        <is>
          <t>Особливості середовища</t>
        </is>
      </c>
      <c r="B11" s="15" t="inlineStr">
        <is>
          <t>Виконано на localhost замість demo з передумов кейсів; тестові бронювання T3-Guest створювались у локальній базі.</t>
        </is>
      </c>
    </row>
    <row r="12">
      <c r="A12" s="15" t="inlineStr">
        <is>
          <t>Як запущено</t>
        </is>
      </c>
      <c r="B12" s="15" t="inlineStr">
        <is>
          <t>[Docker / інше — вказати команду запуску]</t>
        </is>
      </c>
    </row>
    <row r="13">
      <c r="A13" s="15" t="inlineStr">
        <is>
          <t>Адреса застосунку</t>
        </is>
      </c>
      <c r="B13" s="15" t="inlineStr">
        <is>
          <t>http://localhost:[порт]</t>
        </is>
      </c>
    </row>
    <row r="14">
      <c r="A14" s="15" t="inlineStr">
        <is>
          <t>Коміт restful-booker-platform</t>
        </is>
      </c>
      <c r="B14" s="15" t="inlineStr">
        <is>
          <t>[вивід git rev-parse --short HEAD]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2026-10-25T14:45:39Z</dcterms:created>
  <dcterms:modified xmlns:dcterms="http://purl.org/dc/terms/" xmlns:xsi="http://www.w3.org/2001/XMLSchema-instance" xsi:type="dcterms:W3CDTF">2026-10-28T10:38:14Z</dcterms:modified>
  <cp:revision>4</cp:revision>
</cp:coreProperties>
</file>