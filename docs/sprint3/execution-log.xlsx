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un 1" sheetId="1" state="visible" r:id="rId1"/>
    <sheet xmlns:r="http://schemas.openxmlformats.org/officeDocument/2006/relationships" name="Environment"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204"/>
      <family val="2"/>
      <color theme="1"/>
      <sz val="11"/>
    </font>
    <font>
      <name val="Arial"/>
      <charset val="204"/>
      <family val="0"/>
      <sz val="10"/>
    </font>
    <font>
      <name val="Arial"/>
      <charset val="204"/>
      <family val="0"/>
      <sz val="10"/>
    </font>
    <font>
      <name val="Arial"/>
      <charset val="204"/>
      <family val="0"/>
      <sz val="10"/>
    </font>
    <font>
      <name val="Arial"/>
      <charset val="204"/>
      <family val="0"/>
      <b val="1"/>
      <color theme="1"/>
      <sz val="13"/>
    </font>
    <font>
      <name val="Arial"/>
      <charset val="204"/>
      <family val="0"/>
      <i val="1"/>
      <color theme="1"/>
      <sz val="10"/>
    </font>
    <font>
      <name val="Arial"/>
      <charset val="204"/>
      <family val="0"/>
      <b val="1"/>
      <color theme="1"/>
      <sz val="11"/>
    </font>
    <font>
      <name val="Arial"/>
      <charset val="204"/>
      <family val="0"/>
      <color theme="1"/>
      <sz val="10"/>
    </font>
    <font>
      <name val="Arial"/>
      <charset val="204"/>
      <family val="0"/>
      <b val="1"/>
      <color theme="1"/>
      <sz val="10"/>
    </font>
    <font>
      <name val="Arial"/>
      <charset val="204"/>
      <family val="0"/>
      <b val="1"/>
      <color theme="1"/>
      <sz val="11"/>
    </font>
    <font>
      <name val="Arial"/>
      <charset val="204"/>
      <family val="0"/>
      <color theme="1"/>
      <sz val="11"/>
    </font>
  </fonts>
  <fills count="4">
    <fill>
      <patternFill/>
    </fill>
    <fill>
      <patternFill patternType="gray125"/>
    </fill>
    <fill>
      <patternFill patternType="solid">
        <fgColor rgb="FF1F4E78"/>
        <bgColor rgb="FF003366"/>
      </patternFill>
    </fill>
    <fill>
      <patternFill patternType="solid">
        <fgColor rgb="00FFF59D"/>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1"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1" fillId="0" borderId="1" applyAlignment="1" pivotButton="0" quotePrefix="0" xfId="0">
      <alignment horizontal="general" vertical="top" wrapText="1"/>
    </xf>
    <xf numFmtId="0" fontId="1" fillId="0" borderId="1" applyAlignment="1" pivotButton="0" quotePrefix="0" xfId="0">
      <alignment vertical="top" wrapText="1"/>
    </xf>
    <xf numFmtId="0" fontId="8" fillId="0" borderId="1" applyAlignment="1" pivotButton="0" quotePrefix="0" xfId="0">
      <alignment horizontal="general" vertical="top" wrapText="1"/>
    </xf>
    <xf numFmtId="0" fontId="1" fillId="3" borderId="1" applyAlignment="1" pivotButton="0" quotePrefix="0" xfId="0">
      <alignment vertical="top" wrapText="1"/>
    </xf>
    <xf numFmtId="0" fontId="1" fillId="3" borderId="1" applyAlignment="1" pivotButton="0" quotePrefix="0" xfId="0">
      <alignment horizontal="general" vertical="top" wrapText="1"/>
    </xf>
    <xf numFmtId="0" fontId="7" fillId="0" borderId="1" applyAlignment="1" pivotButton="0" quotePrefix="0" xfId="0">
      <alignment vertical="top" wrapText="1"/>
    </xf>
    <xf numFmtId="0" fontId="7" fillId="3" borderId="1" applyAlignment="1" pivotButton="0" quotePrefix="0" xfId="0">
      <alignment horizontal="general" vertical="top" wrapText="1"/>
    </xf>
    <xf numFmtId="0" fontId="10" fillId="0" borderId="0" applyAlignment="1" pivotButton="0" quotePrefix="0" xfId="0">
      <alignment horizontal="general" vertical="bottom"/>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67"/>
  <sheetViews>
    <sheetView showFormulas="0" showGridLines="1" showRowColHeaders="1" showZeros="1" rightToLeft="0" tabSelected="1" showOutlineSymbols="1" defaultGridColor="1" view="normal" topLeftCell="A1" colorId="64" zoomScale="80" zoomScaleNormal="8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I8" activeCellId="0" sqref="I8"/>
    </sheetView>
  </sheetViews>
  <sheetFormatPr baseColWidth="8" defaultColWidth="8.6796875" defaultRowHeight="15" customHeight="0" zeroHeight="0" outlineLevelRow="0"/>
  <cols>
    <col width="9" customWidth="1" style="10" min="1" max="1"/>
    <col width="12" customWidth="1" style="10" min="2" max="2"/>
    <col width="38" customWidth="1" style="10" min="3" max="3"/>
    <col width="32" customWidth="1" style="10" min="4" max="4"/>
    <col width="55" customWidth="1" style="10" min="5" max="6"/>
    <col width="11" customWidth="1" style="10" min="7" max="7"/>
    <col width="12" customWidth="1" style="10" min="8" max="8"/>
    <col width="45" customWidth="1" style="10" min="9" max="9"/>
    <col width="9" customWidth="1" style="10" min="10" max="10"/>
    <col width="30" customWidth="1" style="10" min="11" max="11"/>
    <col width="14" customWidth="1" style="11" min="12" max="12"/>
    <col width="30" customWidth="1" style="11" min="13" max="13"/>
  </cols>
  <sheetData>
    <row r="1" ht="16.15" customHeight="1" s="11">
      <c r="A1" s="12" t="inlineStr">
        <is>
          <t>Журнал виконання тест-кейсів — Спринт 3, Run 1, «СтейНау» (SRS 1.1), localhost (restful-booker-platform)</t>
        </is>
      </c>
    </row>
    <row r="2" ht="13.8" customHeight="1" s="11">
      <c r="A2" s="13" t="inlineStr">
        <is>
          <t>Виконавець: Дятлов М. (ІТ). Кожен кейс — у новому вікні інкогніто Chrome. Статуси: passed / failed / blocked / skipped. Для failed — Bug ID зі звіту в bug-reports.md і скріншот у attachments/.</t>
        </is>
      </c>
    </row>
    <row r="3" ht="13.8" customHeight="1" s="11">
      <c r="A3" s="13" t="inlineStr">
        <is>
          <t>Run 1: виконано на localhost замість demo з передумов кейсів.</t>
        </is>
      </c>
    </row>
    <row r="4" ht="13.8" customHeight="1" s="11">
      <c r="A4" s="14" t="inlineStr">
        <is>
          <t>TC-ID</t>
        </is>
      </c>
      <c r="B4" s="14" t="inlineStr">
        <is>
          <t>Вимога</t>
        </is>
      </c>
      <c r="C4" s="14" t="inlineStr">
        <is>
          <t>Заголовок</t>
        </is>
      </c>
      <c r="D4" s="14" t="inlineStr">
        <is>
          <t>Передумови</t>
        </is>
      </c>
      <c r="E4" s="14" t="inlineStr">
        <is>
          <t>Що зробити (кроки)</t>
        </is>
      </c>
      <c r="F4" s="14" t="inlineStr">
        <is>
          <t>Що має вийти (очікуваний результат)</t>
        </is>
      </c>
      <c r="G4" s="14" t="inlineStr">
        <is>
          <t>Статус</t>
        </is>
      </c>
      <c r="H4" s="14" t="inlineStr">
        <is>
          <t>Дата</t>
        </is>
      </c>
      <c r="I4" s="14" t="inlineStr">
        <is>
          <t>Фактичний результат</t>
        </is>
      </c>
      <c r="J4" s="14" t="inlineStr">
        <is>
          <t>Issue №</t>
        </is>
      </c>
      <c r="K4" s="14" t="inlineStr">
        <is>
          <t>Коментар</t>
        </is>
      </c>
      <c r="L4" s="14" t="inlineStr">
        <is>
          <t>Виконавець</t>
        </is>
      </c>
      <c r="M4" s="14" t="inlineStr">
        <is>
          <t>Середовище</t>
        </is>
      </c>
    </row>
    <row r="5" ht="103.5" customHeight="1" s="11">
      <c r="A5" s="15" t="inlineStr">
        <is>
          <t>TC-001</t>
        </is>
      </c>
      <c r="B5" s="15" t="inlineStr">
        <is>
          <t>F-10</t>
        </is>
      </c>
      <c r="C5" s="15" t="inlineStr">
        <is>
          <t>Головна сторінка гостя показує назву готелю, опис, кнопку «Book Now» і шість пунктів меню</t>
        </is>
      </c>
      <c r="D5" s="15" t="inlineStr">
        <is>
          <t>Chrome (поточна версія), нова сесія (інкогніто); без входу; demo https://automationintesting.online доступне</t>
        </is>
      </c>
      <c r="E5" s="16" t="inlineStr">
        <is>
          <t>1. Відкрити https://automationintesting.online.
2. Переглянути верхню частину головної сторінки.
3. Переглянути меню у шапці зліва направо.
4. Закрити вкладку.</t>
        </is>
      </c>
      <c r="F5" s="16" t="inlineStr">
        <is>
          <t>1. Головна сторінка готелю завантажується.
2. Видно назву готелю, текст опису і кнопку «Book Now».
3. Меню містить рівно «Rooms», «Booking», «Amenities», «Location», «Contact», «Admin».
4. Вкладку закрито; кейс завершено.</t>
        </is>
      </c>
      <c r="G5" s="15" t="inlineStr">
        <is>
          <t>passed</t>
        </is>
      </c>
      <c r="H5" s="15" t="inlineStr">
        <is>
          <t>25.10.2026</t>
        </is>
      </c>
      <c r="I5" s="17" t="inlineStr">
        <is>
          <t>Як очікувалось</t>
        </is>
      </c>
      <c r="J5" s="16" t="n"/>
      <c r="K5" s="16" t="n"/>
      <c r="L5" s="16" t="inlineStr">
        <is>
          <t>Дятлов М.</t>
        </is>
      </c>
      <c r="M5" s="16" t="inlineStr">
        <is>
          <t>localhost (див. аркуш Environment); Chrome</t>
        </is>
      </c>
    </row>
    <row r="6" ht="129.75" customHeight="1" s="11">
      <c r="A6" s="15" t="inlineStr">
        <is>
          <t>TC-002</t>
        </is>
      </c>
      <c r="B6" s="15" t="inlineStr">
        <is>
          <t>F-10</t>
        </is>
      </c>
      <c r="C6" s="15" t="inlineStr">
        <is>
          <t>Пункти меню «Rooms», «Booking», «Contact» прокручують сторінку до відповідних розділів</t>
        </is>
      </c>
      <c r="D6" s="15" t="inlineStr">
        <is>
          <t>Chrome (поточна версія), нова сесія (інкогніто); без входу; demo https://automationintesting.online доступне</t>
        </is>
      </c>
      <c r="E6" s="16" t="inlineStr">
        <is>
          <t>1. Відкрити https://automationintesting.online.
2. Натиснути «Rooms» у меню.
3. Натиснути «Booking» у меню.
4. Натиснути «Contact» у меню.
5. Закрити вкладку.</t>
        </is>
      </c>
      <c r="F6" s="16" t="inlineStr">
        <is>
          <t>1. Головна сторінка готелю завантажується.
2. Сторінку прокручено до розділу «Our Rooms».
3. Сторінку прокручено до віджета «Check Availability &amp; Book Your Stay».
4. Сторінку прокручено до розділу «Send Us a Message».
5. Вкладку закрито; кейс завершено.</t>
        </is>
      </c>
      <c r="G6" s="15" t="inlineStr">
        <is>
          <t>passed</t>
        </is>
      </c>
      <c r="H6" s="15" t="inlineStr">
        <is>
          <t>25.10.2026</t>
        </is>
      </c>
      <c r="I6" s="17" t="inlineStr">
        <is>
          <t>Як очікувалось</t>
        </is>
      </c>
      <c r="J6" s="16" t="n"/>
      <c r="K6" s="16" t="n"/>
      <c r="L6" s="16" t="inlineStr">
        <is>
          <t>Дятлов М.</t>
        </is>
      </c>
      <c r="M6" s="16" t="inlineStr">
        <is>
          <t>localhost (див. аркуш Environment); Chrome</t>
        </is>
      </c>
    </row>
    <row r="7" ht="103.5" customHeight="1" s="11">
      <c r="A7" s="15" t="inlineStr">
        <is>
          <t>TC-003</t>
        </is>
      </c>
      <c r="B7" s="15" t="inlineStr">
        <is>
          <t>F-10</t>
        </is>
      </c>
      <c r="C7" s="15" t="inlineStr">
        <is>
          <t>Пункт «Admin» відкриває сторінку входу до адмінпанелі /admin</t>
        </is>
      </c>
      <c r="D7" s="15" t="inlineStr">
        <is>
          <t>Chrome (поточна версія), нова сесія (інкогніто); без входу; demo https://automationintesting.online доступне</t>
        </is>
      </c>
      <c r="E7" s="16" t="inlineStr">
        <is>
          <t>1. Відкрити https://automationintesting.online.
2. Натиснути «Admin» у меню.
3. Переглянути адресу і заголовок сторінки.
4. Закрити вкладку.</t>
        </is>
      </c>
      <c r="F7" s="16" t="inlineStr">
        <is>
          <t>1. Головна сторінка готелю завантажується.
2. Відкрито сторінку входу.
3. Адреса закінчується на /admin; заголовок «Login»; видно поля Username і Password.
4. Вкладку закрито; кейс завершено.</t>
        </is>
      </c>
      <c r="G7" s="15" t="inlineStr">
        <is>
          <t>passed</t>
        </is>
      </c>
      <c r="H7" s="15" t="inlineStr">
        <is>
          <t>25.10.2026</t>
        </is>
      </c>
      <c r="I7" s="17" t="inlineStr">
        <is>
          <t>Як очікувалось</t>
        </is>
      </c>
      <c r="J7" s="16" t="n"/>
      <c r="K7" s="16" t="n"/>
      <c r="L7" s="16" t="inlineStr">
        <is>
          <t>Дятлов М.</t>
        </is>
      </c>
      <c r="M7" s="16" t="inlineStr">
        <is>
          <t>localhost (див. аркуш Environment); Chrome</t>
        </is>
      </c>
    </row>
    <row r="8" ht="312" customHeight="1" s="11">
      <c r="A8" s="15" t="inlineStr">
        <is>
          <t>TC-004</t>
        </is>
      </c>
      <c r="B8" s="15" t="inlineStr">
        <is>
          <t>GUI-10</t>
        </is>
      </c>
      <c r="C8" s="15" t="inlineStr">
        <is>
          <t>Шапка на головній сторінці і на сторінці номера містить назву готелю ліворуч, посилання праворуч і лишається видимою при прокручуванні</t>
        </is>
      </c>
      <c r="D8" s="15" t="inlineStr">
        <is>
          <t>Chrome (поточна версія), нова сесія (інкогніто); без входу; demo https://automationintesting.online доступне; DevTools (F12) → Network відкрито, фільтр «checkin»</t>
        </is>
      </c>
      <c r="E8" s="16" t="inlineStr">
        <is>
          <t>1. Відкрити https://automationintesting.online.
2. Переглянути шапку сторінки.
3. Прокрутити сторінку до її нижньої частини колесом миші.
4. Переглянути верхню частину вікна браузера.
5. У поле Check In віджета ввести дату «сьогодні + 140 днів» у форматі мм/дд/рррр.
6. У поле Check Out віджета ввести дату «сьогодні + 142 дні» у форматі мм/дд/рррр.
7. Натиснути «Check Availability».
8. Натиснути «Book now» на першій картці номера в переліку.
9. Переглянути шапку на сторінці номера.
10. Прокрутити сторінку номера до її нижньої частини.
11. Переглянути верхню частину вікна браузера.
12. Закрити вкладку.</t>
        </is>
      </c>
      <c r="F8" s="16" t="inlineStr">
        <is>
          <t>1. Головна сторінка готелю завантажується.
2. Назва готелю розташована ліворуч; праворуч — «Rooms», «Booking», «Amenities», «Location», «Contact», «Admin».
3. Сторінку прокручено до підвалу.
4. Шапка з назвою готелю і посиланнями залишається видимою у верхній частині вікна.
5. У полі показано введену дату.
6. У полі показано введену дату.
7. У Network з'являється новий запит, URL якого містить checkin і checkout, що дорівнюють введеним датам у форматі РРРР-ММ-ДД.
8. Відкрито сторінку номера /reservation/{id}; у календарі виділено вибраний інтервал.
9. Назва готелю розташована ліворуч; праворуч — «Rooms», «Booking», «Amenities», «Location», «Contact», «Admin».
10. Сторінку прокручено до підвалу.
11. Шапка з назвою готелю і посиланнями залишається видимою у верхній частині вікна.
12. Вкладку закрито; кейс завершено.</t>
        </is>
      </c>
      <c r="G8" s="15" t="inlineStr">
        <is>
          <t>passed</t>
        </is>
      </c>
      <c r="H8" s="16" t="inlineStr">
        <is>
          <t>25.10.2026</t>
        </is>
      </c>
      <c r="I8" s="17" t="inlineStr">
        <is>
          <t>Як очікувалось</t>
        </is>
      </c>
      <c r="J8" s="16" t="n"/>
      <c r="K8" s="16" t="n"/>
      <c r="L8" s="16" t="inlineStr">
        <is>
          <t>Дятлов М.</t>
        </is>
      </c>
      <c r="M8" s="16" t="inlineStr">
        <is>
          <t>localhost (див. аркуш Environment); Chrome</t>
        </is>
      </c>
    </row>
    <row r="9" ht="181.5" customHeight="1" s="11">
      <c r="A9" s="15" t="inlineStr">
        <is>
          <t>TC-005</t>
        </is>
      </c>
      <c r="B9" s="15" t="inlineStr">
        <is>
          <t>F-20</t>
        </is>
      </c>
      <c r="C9" s="15" t="inlineStr">
        <is>
          <t>Картка кожного номера в «Our Rooms» містить тип, опис, зручності, ціну «£N per night» і кнопку «Book now»</t>
        </is>
      </c>
      <c r="D9" s="15" t="inlineStr">
        <is>
          <t>Chrome (поточна версія), нова сесія (інкогніто); без входу; demo https://automationintesting.online доступне</t>
        </is>
      </c>
      <c r="E9" s="16" t="inlineStr">
        <is>
          <t>1. Відкрити https://automationintesting.online.
2. Натиснути «Rooms» у меню.
3. Переглянути тип номера на кожній картці.
4. Переглянути опис і зручності на кожній картці.
5. Переглянути ціну на кожній картці.
6. Переглянути кнопку на кожній картці.
7. Закрити вкладку.</t>
        </is>
      </c>
      <c r="F9" s="16" t="inlineStr">
        <is>
          <t>1. Головна сторінка готелю завантажується.
2. Показано розділ «Our Rooms» з картками номерів.
3. Тип — одне зі значень Single, Double, Suite.
4. Є опис; зручності — з-поміж TV, WiFi, Safe, Radio.
5. Ціна у форматі «£N per night», N — ціле число.
6. На кожній картці є кнопка «Book now».
7. Вкладку закрито; кейс завершено.</t>
        </is>
      </c>
      <c r="G9" s="15" t="inlineStr">
        <is>
          <t>passed</t>
        </is>
      </c>
      <c r="H9" s="16" t="inlineStr">
        <is>
          <t>25.10.2026</t>
        </is>
      </c>
      <c r="I9" s="17" t="inlineStr">
        <is>
          <t>Як очікувалось</t>
        </is>
      </c>
      <c r="J9" s="16" t="n"/>
      <c r="K9" s="16" t="n"/>
      <c r="L9" s="16" t="inlineStr">
        <is>
          <t>Дятлов М.</t>
        </is>
      </c>
      <c r="M9" s="16" t="inlineStr">
        <is>
          <t>localhost (див. аркуш Environment); Chrome</t>
        </is>
      </c>
    </row>
    <row r="10" ht="181.5" customHeight="1" s="11">
      <c r="A10" s="15" t="inlineStr">
        <is>
          <t>TC-006</t>
        </is>
      </c>
      <c r="B10" s="15" t="inlineStr">
        <is>
          <t>GUI-30</t>
        </is>
      </c>
      <c r="C10" s="15" t="inlineStr">
        <is>
          <t>Кожна картка номера містить зображення, назву типу, короткий опис, зручності з піктограмами, ціну і кнопку</t>
        </is>
      </c>
      <c r="D10" s="15" t="inlineStr">
        <is>
          <t>Chrome (поточна версія), нова сесія (інкогніто); без входу; demo https://automationintesting.online доступне</t>
        </is>
      </c>
      <c r="E10" s="16" t="inlineStr">
        <is>
          <t>1. Відкрити https://automationintesting.online.
2. Натиснути «Rooms» у меню.
3. Переглянути зображення на кожній картці.
4. Переглянути назву типу і короткий опис на кожній картці.
5. Переглянути перелік зручностей на кожній картці.
6. Переглянути ціну і кнопку на кожній картці.
7. Закрити вкладку.</t>
        </is>
      </c>
      <c r="F10" s="16" t="inlineStr">
        <is>
          <t>1. Головна сторінка готелю завантажується.
2. Показано розділ «Our Rooms».
3. На кожній картці зображення відображається повністю, не як «зламане».
4. На кожній картці є назва типу і короткий опис.
5. На кожній картці кожна зручність має піктограму.
6. На кожній картці ціна у форматі «£N per night» і кнопка «Book now».
7. Вкладку закрито; кейс завершено.</t>
        </is>
      </c>
      <c r="G10" s="15" t="inlineStr">
        <is>
          <t>passed</t>
        </is>
      </c>
      <c r="H10" s="16" t="inlineStr">
        <is>
          <t>25.10.2026</t>
        </is>
      </c>
      <c r="I10" s="17" t="inlineStr">
        <is>
          <t>Як очікувалось</t>
        </is>
      </c>
      <c r="J10" s="16" t="n"/>
      <c r="K10" s="16" t="n"/>
      <c r="L10" s="16" t="inlineStr">
        <is>
          <t>Дятлов М.</t>
        </is>
      </c>
      <c r="M10" s="16" t="inlineStr">
        <is>
          <t>localhost (див. аркуш Environment); Chrome</t>
        </is>
      </c>
    </row>
    <row r="11" ht="181.5" customHeight="1" s="11">
      <c r="A11" s="15" t="inlineStr">
        <is>
          <t>TC-007</t>
        </is>
      </c>
      <c r="B11" s="15" t="inlineStr">
        <is>
          <t>F-20, GUI-20</t>
        </is>
      </c>
      <c r="C11" s="15" t="inlineStr">
        <is>
          <t>«Book now» відкриває /reservation/{id} із датами віджета в параметрах checkin і checkout</t>
        </is>
      </c>
      <c r="D11" s="15" t="inlineStr">
        <is>
          <t>Chrome (поточна версія), нова сесія (інкогніто); без входу; demo https://automationintesting.online доступне; DevTools (F12) → Network відкрито, фільтр «checkin»</t>
        </is>
      </c>
      <c r="E11" s="16" t="inlineStr">
        <is>
          <t>1. Відкрити https://automationintesting.online.
2. У поле Check In віджета ввести дату «сьогодні + 40 днів» у форматі мм/дд/рррр.
3. У поле Check Out віджета ввести дату «сьогодні + 42 дні» у форматі мм/дд/рррр.
4. Натиснути «Check Availability».
5. Натиснути «Book now» на першій картці номера.
6. Переглянути адресу сторінки.
7. Закрити вкладку.</t>
        </is>
      </c>
      <c r="F11"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6. Адреса містить /reservation/, параметри checkin і checkout; дати збігаються з введеними (сьогодні + 40 і + 42) у форматі РРРР-ММ-ДД.
7. Вкладку закрито; кейс завершено.</t>
        </is>
      </c>
      <c r="G11" s="15" t="inlineStr">
        <is>
          <t>passed</t>
        </is>
      </c>
      <c r="H11" s="16" t="inlineStr">
        <is>
          <t>25.10.2026</t>
        </is>
      </c>
      <c r="I11" s="17" t="inlineStr">
        <is>
          <t>Як очікувалось</t>
        </is>
      </c>
      <c r="J11" s="16" t="n"/>
      <c r="K11" s="16" t="n"/>
      <c r="L11" s="16" t="inlineStr">
        <is>
          <t>Дятлов М.</t>
        </is>
      </c>
      <c r="M11" s="16" t="inlineStr">
        <is>
          <t>localhost (див. аркуш Environment); Chrome</t>
        </is>
      </c>
    </row>
    <row r="12" ht="259.5" customHeight="1" s="11">
      <c r="A12" s="15" t="inlineStr">
        <is>
          <t>TC-008</t>
        </is>
      </c>
      <c r="B12" s="15" t="inlineStr">
        <is>
          <t>F-30</t>
        </is>
      </c>
      <c r="C12" s="15" t="inlineStr">
        <is>
          <t>Check Availability оновлює перелік номерів для вибраного інтервалу</t>
        </is>
      </c>
      <c r="D12" s="15" t="inlineStr">
        <is>
          <t>Chrome (поточна версія), нова сесія (інкогніто); без входу; demo https://automationintesting.online доступне; DevTools (F12) → Network відкрито, фільтр «checkin»</t>
        </is>
      </c>
      <c r="E12" s="16" t="inlineStr">
        <is>
          <t>1. Відкрити https://automationintesting.online.
2. Натиснути «Rooms» у меню.
3. Підрахувати картки номерів у розділі «Our Rooms» (K0).
4. Натиснути «Booking» у меню.
5. У поле Check In віджета ввести дату «сьогодні + 200 днів» у форматі мм/дд/рррр.
6. У поле Check Out віджета ввести дату «сьогодні + 203 дні» у форматі мм/дд/рррр.
7. Натиснути «Check Availability».
8. Натиснути «Rooms» у меню.
9. Підрахувати картки номерів у розділі «Our Rooms» (K1).
10. Закрити вкладку.</t>
        </is>
      </c>
      <c r="F12" s="16" t="inlineStr">
        <is>
          <t>1. Головна сторінка готелю завантажується.
2. Сторінку прокручено до розділу «Our Rooms» із картками номерів.
3. K0 — ціле число не менше 1.
4. Сторінку прокручено до віджета «Check Availability &amp; Book Your Stay».
5. У полі показано введену дату.
6. У полі показано введену дату.
7. У Network з'являється новий запит, URL якого містить checkin і checkout, що дорівнюють введеним датам у форматі РРРР-ММ-ДД.
8. Сторінку прокручено до розділу «Our Rooms».
9. K1 не перевищує K0; кожна показана картка має тип (Single, Double або Suite), ціну «£N per night» і кнопку «Book now».
10. Вкладку закрито; кейс завершено.</t>
        </is>
      </c>
      <c r="G12" s="15" t="inlineStr">
        <is>
          <t>passed</t>
        </is>
      </c>
      <c r="H12" s="16" t="inlineStr">
        <is>
          <t>25.10.2026</t>
        </is>
      </c>
      <c r="I12" s="17" t="inlineStr">
        <is>
          <t>Як очікувалось</t>
        </is>
      </c>
      <c r="J12" s="16" t="n"/>
      <c r="K12" s="16" t="n"/>
      <c r="L12" s="16" t="inlineStr">
        <is>
          <t>Дятлов М.</t>
        </is>
      </c>
      <c r="M12" s="16" t="inlineStr">
        <is>
          <t>localhost (див. аркуш Environment); Chrome</t>
        </is>
      </c>
    </row>
    <row r="13" ht="468" customHeight="1" s="11">
      <c r="A13" s="15" t="inlineStr">
        <is>
          <t>TC-009</t>
        </is>
      </c>
      <c r="B13" s="15" t="inlineStr">
        <is>
          <t>F-40, F-30, BL-70</t>
        </is>
      </c>
      <c r="C13" s="15" t="inlineStr">
        <is>
          <t>Номер, зайнятий хоча б на одну ніч вибраного інтервалу, не показується в переліку вільних</t>
        </is>
      </c>
      <c r="D13" s="15" t="inlineStr">
        <is>
          <t>Chrome (поточна версія), нова сесія (інкогніто); без входу; demo https://automationintesting.online доступне; якщо на кроці «Записати» перший номер для вибраних дат недоступний (бронювання вже існує), усі дати кейсу зсунути на +100 днів і далі виконувати з новими датами; DevTools (F12) → Network відкрито, фільтр «checkin»</t>
        </is>
      </c>
      <c r="E13" s="16" t="inlineStr">
        <is>
          <t>1. Відкрити https://automationintesting.online.
2. У поле Check In віджета ввести дату «сьогодні + 60 днів» у форматі мм/дд/рррр.
3. У поле Check Out віджета ввести дату «сьогодні + 62 дні» у форматі мм/дд/рррр.
4. Натиснути «Check Availability».
5. Записати тип, опис і ціну першого номера в переліку.
6. Натиснути «Book now» на першій картці номера.
7. Натиснути «Reserve Now» на сторінці номера.
8. У поле Firstname ввести «T3-Guest».
9. У поле Lastname ввести «Tester».
10. У поле Email ввести «t3.guest@example.com».
11. У поле Phone ввести «+380001234567».
12. Натиснути «Reserve Now» у формі бронювання.
13. Відкрити https://automationintesting.online у цій самій вкладці.
14. У поле Check In віджета ввести дату «сьогодні + 61 день» у форматі мм/дд/рррр.
15. У поле Check Out віджета ввести дату «сьогодні + 63 дні» у форматі мм/дд/рррр.
16. Натиснути «Check Availability».
17. Переглянути перелік і знайти номер із записаними типом, описом і ціною.
18. Закрити вкладку.</t>
        </is>
      </c>
      <c r="F13"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Тип, опис і ціну записано.
6. Відкрито сторінку номера.
7. З'являється форма бронювання.
8. Значення введено в поле; повідомлень про помилку немає.
9. Значення введено в поле; повідомлень про помилку немає.
10. Значення введено в поле; повідомлень про помилку немає.
11. Значення введено в поле; повідомлень про помилку немає.
12. Показано «Booking Successful!» з датами проживання сьогодні + 60 і + 62.
13. Головна сторінка готелю завантажується.
14. У полі показано введену дату.
15. У полі показано введену дату.
16. У Network з'являється новий запит, URL якого містить checkin і checkout, що дорівнюють введеним датам у форматі РРРР-ММ-ДД.
17. Цього номера в переліку немає: його ніч +61 зайнята.
18. Вкладку закрито; кейс завершено.</t>
        </is>
      </c>
      <c r="G13" s="15" t="inlineStr">
        <is>
          <t>passed</t>
        </is>
      </c>
      <c r="H13" s="16" t="inlineStr">
        <is>
          <t>25.10.2026</t>
        </is>
      </c>
      <c r="I13" s="17" t="inlineStr">
        <is>
          <t>Як очікувалось</t>
        </is>
      </c>
      <c r="J13" s="16" t="n"/>
      <c r="K13" s="16" t="n"/>
      <c r="L13" s="16" t="inlineStr">
        <is>
          <t>Дятлов М.</t>
        </is>
      </c>
      <c r="M13" s="16" t="inlineStr">
        <is>
          <t>localhost (див. аркуш Environment); Chrome</t>
        </is>
      </c>
    </row>
    <row r="14" ht="649.5" customHeight="1" s="11">
      <c r="A14" s="15" t="inlineStr">
        <is>
          <t>TC-010</t>
        </is>
      </c>
      <c r="B14" s="15" t="inlineStr">
        <is>
          <t>BL-70, F-60</t>
        </is>
      </c>
      <c r="C14" s="15" t="inlineStr">
        <is>
          <t>Виїзд у день заїзду іншого гостя дозволений: номер вільний на інтервал, що починається в день виїзду</t>
        </is>
      </c>
      <c r="D14" s="15" t="inlineStr">
        <is>
          <t>Chrome (поточна версія), нова сесія (інкогніто); без входу; demo https://automationintesting.online доступне; якщо на кроці «Записати» перший номер для вибраних дат недоступний (бронювання вже існує), усі дати кейсу зсунути на +100 днів і далі виконувати з новими датами; DevTools (F12) → Network відкрито, фільтр «checkin»</t>
        </is>
      </c>
      <c r="E14" s="16" t="inlineStr">
        <is>
          <t>1. Відкрити https://automationintesting.online.
2. У поле Check In віджета ввести дату «сьогодні + 70 днів» у форматі мм/дд/рррр.
3. У поле Check Out віджета ввести дату «сьогодні + 72 дні» у форматі мм/дд/рррр.
4. Натиснути «Check Availability».
5. Записати тип, опис і ціну першого номера в переліку.
6. Натиснути «Book now» на першій картці номера.
7. Натиснути «Reserve Now» на сторінці номера.
8. У поле Firstname ввести «T3-Guest».
9. У поле Lastname ввести «Tester».
10. У поле Email ввести «t3.guest@example.com».
11. У поле Phone ввести «+380001234567».
12. Натиснути «Reserve Now» у формі бронювання.
13. Відкрити https://automationintesting.online у цій самій вкладці.
14. У поле Check In віджета ввести дату «сьогодні + 72 дні» у форматі мм/дд/рррр.
15. У поле Check Out віджета ввести дату «сьогодні + 74 дні» у форматі мм/дд/рррр.
16. Натиснути «Check Availability».
17. Знайти в переліку номер із записаними типом, описом і ціною.
18. Натиснути «Book now» на цій картці.
19. Натиснути «Reserve Now» на сторінці номера.
20. У поле Firstname ввести «T3-Guest2».
21. У поле Lastname ввести «Tester».
22. У поле Email ввести «t3.guest2@example.com».
23. У поле Phone ввести «+380001234568».
24. Натиснути «Reserve Now» у формі бронювання.
25. Закрити вкладку.</t>
        </is>
      </c>
      <c r="F14"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Тип, опис і ціну записано.
6. Відкрито сторінку номера.
7. З'являється форма бронювання.
8. Значення введено в поле; повідомлень про помилку немає.
9. Значення введено в поле; повідомлень про помилку немає.
10. Значення введено в поле; повідомлень про помилку немає.
11. Значення введено в поле; повідомлень про помилку немає.
12. Показано «Booking Successful!» з датами сьогодні + 70 і + 72.
13. Головна сторінка готелю завантажується.
14. У полі показано введену дату.
15. У полі показано введену дату.
16. У Network з'являється новий запит, URL якого містить checkin і checkout, що дорівнюють введеним датам у форматі РРРР-ММ-ДД.
17. Номер у переліку є.
18. Відкрито сторінку цього номера.
19. З'являється форма бронювання.
20. Значення введено в поле; повідомлень про помилку немає.
21. Значення введено в поле; повідомлень про помилку немає.
22. Значення введено в поле; повідомлень про помилку немає.
23. Значення введено в поле; повідомлень про помилку немає.
24. Показано «Booking Successful!» з датами сьогодні + 72 і + 74.
25. Вкладку закрито; кейс завершено.</t>
        </is>
      </c>
      <c r="G14" s="15" t="inlineStr">
        <is>
          <t>passed</t>
        </is>
      </c>
      <c r="H14" s="16" t="inlineStr">
        <is>
          <t>25.10.2026</t>
        </is>
      </c>
      <c r="I14" s="17" t="inlineStr">
        <is>
          <t>Як очікувалось</t>
        </is>
      </c>
      <c r="J14" s="16" t="n"/>
      <c r="K14" s="16" t="n"/>
      <c r="L14" s="16" t="inlineStr">
        <is>
          <t>Дятлов М.</t>
        </is>
      </c>
      <c r="M14" s="16" t="inlineStr">
        <is>
          <t>localhost (див. аркуш Environment); Chrome</t>
        </is>
      </c>
    </row>
    <row r="15" ht="234" customHeight="1" s="11">
      <c r="A15" s="15" t="inlineStr">
        <is>
          <t>TC-011</t>
        </is>
      </c>
      <c r="B15" s="15" t="inlineStr">
        <is>
          <t>F-40</t>
        </is>
      </c>
      <c r="C15" s="15" t="inlineStr">
        <is>
          <t>Перелік вільних номерів з'являється не довше ніж за 3 с після «Check Availability»</t>
        </is>
      </c>
      <c r="D15" s="15" t="inlineStr">
        <is>
          <t>Chrome (поточна версія), нова сесія (інкогніто); без входу; demo https://automationintesting.online доступне</t>
        </is>
      </c>
      <c r="E15" s="16" t="inlineStr">
        <is>
          <t>1. Відкрити https://automationintesting.online.
2. Відкрити DevTools (F12) і перейти на вкладку Network.
3. У полі фільтра Network ввести «checkin».
4. Натиснути «Clear» у Network.
5. У поле Check In віджета ввести дату «сьогодні + 200 днів» у форматі мм/дд/рррр.
6. У поле Check Out віджета ввести дату «сьогодні + 203 дні» у форматі мм/дд/рррр.
7. Натиснути «Check Availability».
8. У Network знайти запит із checkin і checkout у URL і переглянути значення його колонки Time.
9. Закрити вкладку.</t>
        </is>
      </c>
      <c r="F15" s="16" t="inlineStr">
        <is>
          <t>1. Головна сторінка готелю завантажується.
2. Вкладку Network відкрито.
3. Фільтр застосовано.
4. Журнал запитів порожній.
5. У полі показано введену дату.
6. У полі показано введену дату.
7. У Network з'являється новий запит, URL якого містить checkin і checkout, що дорівнюють введеним датам у форматі РРРР-ММ-ДД.
8. Time цього запиту не перевищує 3000 мс.
9. Вкладку закрито; кейс завершено.</t>
        </is>
      </c>
      <c r="G15" s="15" t="inlineStr">
        <is>
          <t>passed</t>
        </is>
      </c>
      <c r="H15" s="16" t="inlineStr">
        <is>
          <t>25.10.2026</t>
        </is>
      </c>
      <c r="I15" s="17" t="inlineStr">
        <is>
          <t>Як очікувалось</t>
        </is>
      </c>
      <c r="J15" s="16" t="n"/>
      <c r="K15" s="16" t="n"/>
      <c r="L15" s="16" t="inlineStr">
        <is>
          <t>Дятлов М.</t>
        </is>
      </c>
      <c r="M15" s="16" t="inlineStr">
        <is>
          <t>localhost (див. аркуш Environment); Chrome</t>
        </is>
      </c>
    </row>
    <row r="16" ht="285.75" customHeight="1" s="11">
      <c r="A16" s="15" t="inlineStr">
        <is>
          <t>TC-012</t>
        </is>
      </c>
      <c r="B16" s="15" t="inlineStr">
        <is>
          <t>F-50</t>
        </is>
      </c>
      <c r="C16" s="15" t="inlineStr">
        <is>
          <t>Сторінка номера показує тип, «Accessible», «Max N Guests», опис, зручності, правила, календар і «Price Summary»</t>
        </is>
      </c>
      <c r="D16" s="15" t="inlineStr">
        <is>
          <t>Chrome (поточна версія), нова сесія (інкогніто); без входу; demo https://automationintesting.online доступне; DevTools (F12) → Network відкрито, фільтр «checkin»</t>
        </is>
      </c>
      <c r="E16" s="16" t="inlineStr">
        <is>
          <t>1. Відкрити https://automationintesting.online.
2. У поле Check In віджета ввести дату «сьогодні + 80 днів» у форматі мм/дд/рррр.
3. У поле Check Out віджета ввести дату «сьогодні + 83 дні» у форматі мм/дд/рррр.
4. Натиснути «Check Availability».
5. Натиснути «Book now» на першій картці номера в переліку.
6. Переглянути блок опису номера.
7. Переглянути позначку «Accessible» біля типу номера.
8. Переглянути блок правил.
9. Переглянути календар.
10. Переглянути блок «Price Summary».
11. Закрити вкладку.</t>
        </is>
      </c>
      <c r="F16"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Є тип, «Max N Guests» (N — ціле), опис, зручності.
7. Якщо номер пристосований (у розділі номерів адмінпанелі Accessible = true) — позначка «Accessible» є; якщо ні — позначки немає. У журналі зазначити, який із двох варіантів виконано.
8. Заїзд 3:00 PM – 8:00 PM; виїзд до 11:00 AM.
9. Інтервал сьогодні + 80 … + 83 виділено.
10. Блок присутній.
11. Вкладку закрито; кейс завершено.</t>
        </is>
      </c>
      <c r="G16" s="15" t="inlineStr">
        <is>
          <t>passed</t>
        </is>
      </c>
      <c r="H16" s="16" t="inlineStr">
        <is>
          <t>25.10.2026</t>
        </is>
      </c>
      <c r="I16" s="17" t="inlineStr">
        <is>
          <t>Як очікувалось</t>
        </is>
      </c>
      <c r="J16" s="16" t="n"/>
      <c r="K16" s="16" t="n"/>
      <c r="L16" s="16" t="inlineStr">
        <is>
          <t>Дятлов М.</t>
        </is>
      </c>
      <c r="M16" s="16" t="inlineStr">
        <is>
          <t>localhost (див. аркуш Environment); Chrome</t>
        </is>
      </c>
    </row>
    <row r="17" ht="207.75" customHeight="1" s="11">
      <c r="A17" s="15" t="inlineStr">
        <is>
          <t>TC-013</t>
        </is>
      </c>
      <c r="B17" s="15" t="inlineStr">
        <is>
          <t>F-50</t>
        </is>
      </c>
      <c r="C17" s="15" t="inlineStr">
        <is>
          <t>Price Summary для 1 ночі: Total дорівнює тарифу плюс 25 плюс 15</t>
        </is>
      </c>
      <c r="D17" s="15" t="inlineStr">
        <is>
          <t>Chrome (поточна версія), нова сесія (інкогніто); без входу; demo https://automationintesting.online доступне; DevTools (F12) → Network відкрито, фільтр «checkin»</t>
        </is>
      </c>
      <c r="E17" s="16" t="inlineStr">
        <is>
          <t>1. Відкрити https://automationintesting.online.
2. У поле Check In віджета ввести дату «сьогодні + 90 днів» у форматі мм/дд/рррр.
3. У поле Check Out віджета ввести дату «сьогодні + 91 день» у форматі мм/дд/рррр.
4. Натиснути «Check Availability».
5. Записати ціну «£T per night» першої картки номера в переліку.
6. Натиснути «Book now» на першій картці номера в переліку.
7. Переглянути блок «Price Summary».
8. Закрити вкладку.</t>
        </is>
      </c>
      <c r="F17"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Тариф T записано (ціле число).
6. Відкрито сторінку номера /reservation/{id}; у календарі виділено вибраний інтервал.
7. Рядок «£T x 1 nights» із сумою T; «Cleaning fee» £25; «Service fee» £15; «Total» = T + 40.
8. Вкладку закрито; кейс завершено.</t>
        </is>
      </c>
      <c r="G17" s="15" t="inlineStr">
        <is>
          <t>passed</t>
        </is>
      </c>
      <c r="H17" s="16" t="inlineStr">
        <is>
          <t>25.10.2026</t>
        </is>
      </c>
      <c r="I17" s="17" t="inlineStr">
        <is>
          <t>Як очікувалось</t>
        </is>
      </c>
      <c r="J17" s="16" t="n"/>
      <c r="K17" s="16" t="n"/>
      <c r="L17" s="16" t="inlineStr">
        <is>
          <t>Дятлов М.</t>
        </is>
      </c>
      <c r="M17" s="16" t="inlineStr">
        <is>
          <t>localhost (див. аркуш Environment); Chrome</t>
        </is>
      </c>
    </row>
    <row r="18" ht="207.75" customHeight="1" s="11">
      <c r="A18" s="15" t="inlineStr">
        <is>
          <t>TC-014</t>
        </is>
      </c>
      <c r="B18" s="15" t="inlineStr">
        <is>
          <t>F-50</t>
        </is>
      </c>
      <c r="C18" s="15" t="inlineStr">
        <is>
          <t>Price Summary для 3 ночей: Total дорівнює добутку тарифу на 3 плюс 25 плюс 15</t>
        </is>
      </c>
      <c r="D18" s="15" t="inlineStr">
        <is>
          <t>Chrome (поточна версія), нова сесія (інкогніто); без входу; demo https://automationintesting.online доступне; DevTools (F12) → Network відкрито, фільтр «checkin»</t>
        </is>
      </c>
      <c r="E18" s="16" t="inlineStr">
        <is>
          <t>1. Відкрити https://automationintesting.online.
2. У поле Check In віджета ввести дату «сьогодні + 95 днів» у форматі мм/дд/рррр.
3. У поле Check Out віджета ввести дату «сьогодні + 98 днів» у форматі мм/дд/рррр.
4. Натиснути «Check Availability».
5. Записати ціну «£T per night» першої картки номера в переліку.
6. Натиснути «Book now» на першій картці номера в переліку.
7. Переглянути блок «Price Summary».
8. Закрити вкладку.</t>
        </is>
      </c>
      <c r="F18"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Тариф T записано (ціле число).
6. Відкрито сторінку номера /reservation/{id}; у календарі виділено вибраний інтервал.
7. Рядок «£T x 3 nights» із сумою 3 × T; «Cleaning fee» £25; «Service fee» £15; «Total» = 3 × T + 40.
8. Вкладку закрито; кейс завершено.</t>
        </is>
      </c>
      <c r="G18" s="18" t="inlineStr">
        <is>
          <t>passed</t>
        </is>
      </c>
      <c r="H18" s="16" t="inlineStr">
        <is>
          <t>25.10.2026</t>
        </is>
      </c>
      <c r="I18" s="17" t="inlineStr">
        <is>
          <t>Як очікувалось</t>
        </is>
      </c>
      <c r="J18" s="16" t="n"/>
      <c r="K18" s="16" t="n"/>
      <c r="L18" s="16" t="inlineStr">
        <is>
          <t>Дятлов М.</t>
        </is>
      </c>
      <c r="M18" s="16" t="inlineStr">
        <is>
          <t>localhost (див. аркуш Environment); Chrome</t>
        </is>
      </c>
    </row>
    <row r="19" ht="207.75" customHeight="1" s="11">
      <c r="A19" s="15" t="inlineStr">
        <is>
          <t>TC-015</t>
        </is>
      </c>
      <c r="B19" s="15" t="inlineStr">
        <is>
          <t>GUI-50</t>
        </is>
      </c>
      <c r="C19" s="15" t="inlineStr">
        <is>
          <t>Price Summary: «Cleaning fee» £25, «Service fee» £15, підсумок «Total» напівжирним</t>
        </is>
      </c>
      <c r="D19" s="15" t="inlineStr">
        <is>
          <t>Chrome (поточна версія), нова сесія (інкогніто); без входу; demo https://automationintesting.online доступне; DevTools (F12) → Network відкрито, фільтр «checkin»</t>
        </is>
      </c>
      <c r="E19" s="16" t="inlineStr">
        <is>
          <t>1. Відкрити https://automationintesting.online.
2. У поле Check In віджета ввести дату «сьогодні + 105 днів» у форматі мм/дд/рррр.
3. У поле Check Out віджета ввести дату «сьогодні + 107 днів» у форматі мм/дд/рррр.
4. Натиснути «Check Availability».
5. Натиснути «Book now» на першій картці номера в переліку.
6. Переглянути рядки «Cleaning fee» і «Service fee».
7. Відкрити DevTools на елементі «Total» (правий клік → Inspect) і переглянути обчислений font-weight.
8. Закрити вкладку.</t>
        </is>
      </c>
      <c r="F19"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«Cleaning fee» — £25; «Service fee» — £15.
7. font-weight «Total» не менше 600 (напівжирний).
8. Вкладку закрито; кейс завершено.</t>
        </is>
      </c>
      <c r="G19" s="15" t="inlineStr">
        <is>
          <t>passed</t>
        </is>
      </c>
      <c r="H19" s="16" t="inlineStr">
        <is>
          <t>25.10.2026</t>
        </is>
      </c>
      <c r="I19" s="17" t="inlineStr">
        <is>
          <t>Як очікувалось</t>
        </is>
      </c>
      <c r="J19" s="16" t="n"/>
      <c r="K19" s="16" t="n"/>
      <c r="L19" s="16" t="inlineStr">
        <is>
          <t>Дятлов М.</t>
        </is>
      </c>
      <c r="M19" s="16" t="inlineStr">
        <is>
          <t>localhost (див. аркуш Environment); Chrome</t>
        </is>
      </c>
    </row>
    <row r="20" ht="312" customHeight="1" s="11">
      <c r="A20" s="15" t="inlineStr">
        <is>
          <t>TC-016</t>
        </is>
      </c>
      <c r="B20" s="15" t="inlineStr">
        <is>
          <t>F-60, GUI-40</t>
        </is>
      </c>
      <c r="C20" s="15" t="inlineStr">
        <is>
          <t>Бронювання з коректними даними зберігається і показує «Booking Successful!» з датами проживання</t>
        </is>
      </c>
      <c r="D20" s="15" t="inlineStr">
        <is>
          <t>Chrome (поточна версія), нова сесія (інкогніто); без входу; demo https://automationintesting.online доступне; на дати «сьогодні + 80 … + 83» інших бронювань немає (за потреби — інші дати); DevTools (F12) → Network відкрито, фільтр «checkin»</t>
        </is>
      </c>
      <c r="E20" s="16" t="inlineStr">
        <is>
          <t>1. Відкрити https://automationintesting.online.
2. У поле Check In віджета ввести дату «сьогодні + 80 днів» у форматі мм/дд/рррр.
3. У поле Check Out віджета ввести дату «сьогодні + 83 дні» у форматі мм/дд/рррр.
4. Натиснути «Check Availability».
5. Натиснути «Book now» на першій картці номера в переліку.
6. Натиснути «Reserve Now» на сторінці номера.
7. У поле Firstname ввести «T3-Guest».
8. У поле Lastname ввести «Tester».
9. У поле Email ввести «t3.guest@example.com».
10. У поле Phone ввести «+380001234567».
11. Натиснути «Reserve Now» у формі бронювання.
12. Закрити вкладку.</t>
        </is>
      </c>
      <c r="F20"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Значення введено в поле; повідомлень про помилку немає.
8. Значення введено в поле; повідомлень про помилку немає.
9. Значення введено в поле; повідомлень про помилку немає.
10. Значення введено в поле; повідомлень про помилку немає.
11. Показано повідомлення «Booking Successful!» з датами проживання сьогодні + 80 і + 83; помилок немає.
12. Вкладку закрито; кейс завершено.</t>
        </is>
      </c>
      <c r="G20" s="15" t="inlineStr">
        <is>
          <t>passed</t>
        </is>
      </c>
      <c r="H20" s="16" t="inlineStr">
        <is>
          <t>25.10.2026</t>
        </is>
      </c>
      <c r="I20" s="17" t="inlineStr">
        <is>
          <t>Як очікувалось</t>
        </is>
      </c>
      <c r="J20" s="16" t="n"/>
      <c r="K20" s="16" t="n"/>
      <c r="L20" s="16" t="inlineStr">
        <is>
          <t>Дятлов М.</t>
        </is>
      </c>
      <c r="M20" s="16" t="inlineStr">
        <is>
          <t>localhost (див. аркуш Environment); Chrome</t>
        </is>
      </c>
    </row>
    <row r="21" ht="234" customHeight="1" s="11">
      <c r="A21" s="15" t="inlineStr">
        <is>
          <t>TC-017</t>
        </is>
      </c>
      <c r="B21" s="15" t="inlineStr">
        <is>
          <t>GUI-40</t>
        </is>
      </c>
      <c r="C21" s="15" t="inlineStr">
        <is>
          <t>Форма бронювання містить поля з підказками Firstname, Lastname, Email, Phone і кнопки «Reserve Now», «Cancel»</t>
        </is>
      </c>
      <c r="D21" s="15" t="inlineStr">
        <is>
          <t>Chrome (поточна версія), нова сесія (інкогніто); без входу; demo https://automationintesting.online доступне; DevTools (F12) → Network відкрито, фільтр «checkin»</t>
        </is>
      </c>
      <c r="E21" s="16" t="inlineStr">
        <is>
          <t>1. Відкрити https://automationintesting.online.
2. У поле Check In віджета ввести дату «сьогодні + 110 днів» у форматі мм/дд/рррр.
3. У поле Check Out віджета ввести дату «сьогодні + 112 днів» у форматі мм/дд/рррр.
4. Натиснути «Check Availability».
5. Натиснути «Book now» на першій картці номера в переліку.
6. Натиснути «Reserve Now» на сторінці номера.
7. Переглянути підказки (placeholder) у полях форми.
8. Переглянути кнопки під полями.
9. Закрити вкладку.</t>
        </is>
      </c>
      <c r="F21"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Підказки: «Firstname», «Lastname», «Email», «Phone».
8. Є кнопки «Reserve Now» і «Cancel».
9. Вкладку закрито; кейс завершено.</t>
        </is>
      </c>
      <c r="G21" s="15" t="inlineStr">
        <is>
          <t>passed</t>
        </is>
      </c>
      <c r="H21" s="16" t="inlineStr">
        <is>
          <t>25.10.2026</t>
        </is>
      </c>
      <c r="I21" s="17" t="inlineStr">
        <is>
          <t>Як очікувалось</t>
        </is>
      </c>
      <c r="J21" s="16" t="n"/>
      <c r="K21" s="16" t="n"/>
      <c r="L21" s="16" t="inlineStr">
        <is>
          <t>Дятлов М.</t>
        </is>
      </c>
      <c r="M21" s="16" t="inlineStr">
        <is>
          <t>localhost (див. аркуш Environment); Chrome</t>
        </is>
      </c>
    </row>
    <row r="22" ht="390" customHeight="1" s="11">
      <c r="A22" s="15" t="inlineStr">
        <is>
          <t>TC-018</t>
        </is>
      </c>
      <c r="B22" s="15" t="inlineStr">
        <is>
          <t>GUI-40</t>
        </is>
      </c>
      <c r="C22" s="15" t="inlineStr">
        <is>
          <t>Кнопка «Cancel» приховує форму бронювання без створення бронювання</t>
        </is>
      </c>
      <c r="D22" s="15" t="inlineStr">
        <is>
          <t>Chrome (поточна версія), нова сесія (інкогніто); без входу; demo https://automationintesting.online доступне; DevTools (F12) → Network відкрито, фільтр «checkin»</t>
        </is>
      </c>
      <c r="E22" s="16" t="inlineStr">
        <is>
          <t>1. Відкрити https://automationintesting.online.
2. У поле Check In віджета ввести дату «сьогодні + 115 днів» у форматі мм/дд/рррр.
3. У поле Check Out віджета ввести дату «сьогодні + 117 днів» у форматі мм/дд/рррр.
4. Натиснути «Check Availability».
5. Записати тип, опис і ціну першого номера в переліку.
6. Натиснути «Book now» на першій картці номера в переліку.
7. Натиснути «Reserve Now» на сторінці номера.
8. У поле Firstname ввести «T3-Guest».
9. Натиснути «Cancel».
10. Відкрити https://automationintesting.online у цій самій вкладці.
11. У поле Check In віджета ввести дату «сьогодні + 115 днів» у форматі мм/дд/рррр.
12. У поле Check Out віджета ввести дату «сьогодні + 117 днів» у форматі мм/дд/рррр.
13. Натиснути «Check Availability».
14. Знайти в переліку номер із записаними типом, описом і ціною.
15. Закрити вкладку.</t>
        </is>
      </c>
      <c r="F22"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Тип, опис і ціну записано.
6. Відкрито сторінку номера /reservation/{id}; у календарі виділено вибраний інтервал.
7. З'являється форма бронювання.
8. Значення введено в поле; повідомлень про помилку немає.
9. Форма бронювання прихована; бронювання не створено.
10. Головна сторінка готелю завантажується.
11. У полі показано введену дату.
12. У полі показано введену дату.
13. У Network з'являється новий запит, URL якого містить checkin і checkout, що дорівнюють введеним датам у форматі РРРР-ММ-ДД.
14. Номер із записаними типом, описом і ціною лишається в переліку вільних.
15. Вкладку закрито; кейс завершено.</t>
        </is>
      </c>
      <c r="G22" s="15" t="inlineStr">
        <is>
          <t>passed</t>
        </is>
      </c>
      <c r="H22" s="16" t="inlineStr">
        <is>
          <t>25.10.2026</t>
        </is>
      </c>
      <c r="I22" s="17" t="inlineStr">
        <is>
          <t>Як очікувалось</t>
        </is>
      </c>
      <c r="J22" s="16" t="n"/>
      <c r="K22" s="16" t="n"/>
      <c r="L22" s="16" t="inlineStr">
        <is>
          <t>Дятлов М.</t>
        </is>
      </c>
      <c r="M22" s="16" t="inlineStr">
        <is>
          <t>localhost (див. аркуш Environment); Chrome</t>
        </is>
      </c>
    </row>
    <row r="23" ht="234" customHeight="1" s="11">
      <c r="A23" s="15" t="inlineStr">
        <is>
          <t>TC-019</t>
        </is>
      </c>
      <c r="B23" s="15" t="inlineStr">
        <is>
          <t>GUI-80, F-60, GUI-60</t>
        </is>
      </c>
      <c r="C23" s="15" t="inlineStr">
        <is>
          <t>«Reserve Now» завжди активна; натискання з порожніми полями показує перелік помилок над кнопкою, бронювання не зберігається</t>
        </is>
      </c>
      <c r="D23" s="15" t="inlineStr">
        <is>
          <t>Chrome (поточна версія), нова сесія (інкогніто); без входу; demo https://automationintesting.online доступне; DevTools (F12) → Network відкрито, фільтр «checkin»</t>
        </is>
      </c>
      <c r="E23" s="16" t="inlineStr">
        <is>
          <t>1. Відкрити https://automationintesting.online.
2. У поле Check In віджета ввести дату «сьогодні + 120 днів» у форматі мм/дд/рррр.
3. У поле Check Out віджета ввести дату «сьогодні + 122 дні» у форматі мм/дд/рррр.
4. Натиснути «Check Availability».
5. Натиснути «Book now» на першій картці номера в переліку.
6. Натиснути «Reserve Now» на сторінці номера.
7. Переглянути стан кнопки «Reserve Now» у формі до введення даних.
8. Натиснути «Reserve Now» з усіма порожніми полями.
9. Закрити вкладку.</t>
        </is>
      </c>
      <c r="F23"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Кнопка активна (не затемнена, не disabled).
8. Над кнопкою показано перелік помилок валідації; кожна помилка називає поле і причину; «Booking Successful!» не показано.
9. Вкладку закрито; кейс завершено.</t>
        </is>
      </c>
      <c r="G23" s="15" t="inlineStr">
        <is>
          <t>failed</t>
        </is>
      </c>
      <c r="H23" s="16" t="inlineStr">
        <is>
          <t>28.10.2026</t>
        </is>
      </c>
      <c r="I23" s="17" t="inlineStr">
        <is>
          <t>Кнопка «Reserve Now» активна. Після натискання з порожніми полями над кнопкою показано 7 повідомлень: «size must be between 3 and 30», «must not be empty», «must not be empty», «size must be between 11 and 21», «Firstname should not be blank», «Lastname should not be blank», «size must be between 3 and 18». 5 із 7 не називають поле (GUI-60). Бронювання не створено.</t>
        </is>
      </c>
      <c r="J23" s="16" t="inlineStr">
        <is>
          <t>BUG-003, BUG-004, BUG-005, BUG-006</t>
        </is>
      </c>
      <c r="K23" s="16" t="inlineStr">
        <is>
          <t>Повторне виконання 28.10.2026 (номер 103 Suite, 1 ніч); перше виконання 25.10.2026 помилково позначене passed.</t>
        </is>
      </c>
      <c r="L23" s="16" t="inlineStr">
        <is>
          <t>Дятлов М.</t>
        </is>
      </c>
      <c r="M23" s="16" t="inlineStr">
        <is>
          <t>localhost (див. аркуш Environment); Chrome</t>
        </is>
      </c>
    </row>
    <row r="24" ht="312" customHeight="1" s="11">
      <c r="A24" s="15" t="inlineStr">
        <is>
          <t>TC-020</t>
        </is>
      </c>
      <c r="B24" s="15" t="inlineStr">
        <is>
          <t>F-60, GUI-60</t>
        </is>
      </c>
      <c r="C24" s="15" t="inlineStr">
        <is>
          <t>Бронювання з Email без символу «@» відхиляється, помилка називає поле Email</t>
        </is>
      </c>
      <c r="D24" s="15" t="inlineStr">
        <is>
          <t>Chrome (поточна версія), нова сесія (інкогніто); без входу; demo https://automationintesting.online доступне; DevTools (F12) → Network відкрито, фільтр «checkin»</t>
        </is>
      </c>
      <c r="E24" s="16" t="inlineStr">
        <is>
          <t>1. Відкрити https://automationintesting.online.
2. У поле Check In віджета ввести дату «сьогодні + 125 днів» у форматі мм/дд/рррр.
3. У поле Check Out віджета ввести дату «сьогодні + 127 днів» у форматі мм/дд/рррр.
4. Натиснути «Check Availability».
5. Натиснути «Book now» на першій картці номера в переліку.
6. Натиснути «Reserve Now» на сторінці номера.
7. У поле Firstname ввести «T3-Guest».
8. У поле Lastname ввести «Tester».
9. У поле Email ввести «t3.guest.example.com».
10. У поле Phone ввести «+380001234567».
11. Натиснути «Reserve Now» у формі бронювання.
12. Закрити вкладку.</t>
        </is>
      </c>
      <c r="F24"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Значення введено в поле; повідомлень про помилку немає.
8. Значення введено в поле; повідомлень про помилку немає.
9. Значення введено в поле; повідомлень про помилку немає.
10. Значення введено в поле; повідомлень про помилку немає.
11. Над кнопкою показано помилку, що називає поле Email і причину; «Booking Successful!» не показано; бронювання не створено.
12. Вкладку закрито; кейс завершено.</t>
        </is>
      </c>
      <c r="G24" s="15" t="inlineStr">
        <is>
          <t>failed</t>
        </is>
      </c>
      <c r="H24" s="16" t="inlineStr">
        <is>
          <t>28.10.2026</t>
        </is>
      </c>
      <c r="I24" s="17" t="inlineStr">
        <is>
          <t>Над кнопкою показано одне повідомлення «must be a well-formed email address» без назви поля Email (GUI-60). Бронювання не створено.</t>
        </is>
      </c>
      <c r="J24" s="16" t="inlineStr">
        <is>
          <t>BUG-007</t>
        </is>
      </c>
      <c r="K24" s="16" t="inlineStr">
        <is>
          <t>Повторне виконання 28.10.2026; перше виконання 25.10.2026 помилково позначене passed.</t>
        </is>
      </c>
      <c r="L24" s="16" t="inlineStr">
        <is>
          <t>Дятлов М.</t>
        </is>
      </c>
      <c r="M24" s="16" t="inlineStr">
        <is>
          <t>localhost (див. аркуш Environment); Chrome</t>
        </is>
      </c>
    </row>
    <row r="25" ht="234" customHeight="1" s="11">
      <c r="A25" s="15" t="inlineStr">
        <is>
          <t>TC-021</t>
        </is>
      </c>
      <c r="B25" s="15" t="inlineStr">
        <is>
          <t>F-70, GUI-85</t>
        </is>
      </c>
      <c r="C25" s="15" t="inlineStr">
        <is>
          <t>Контактна форма з коректними даними зберігає повідомлення і показує подяку з іменем і темою</t>
        </is>
      </c>
      <c r="D25" s="15" t="inlineStr">
        <is>
          <t>Chrome (поточна версія), нова сесія (інкогніто); без входу; demo https://automationintesting.online доступне</t>
        </is>
      </c>
      <c r="E25"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T3-Booking question.
7. У поле Message ввести T3 test message about booking dates.
8. Натиснути «Submit».
9. Закрити вкладку.</t>
        </is>
      </c>
      <c r="F25"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Форма замінена подякою; у тексті є ім'я «T3-Guest» і тема «T3-Booking question».
9. Вкладку закрито; кейс завершено.</t>
        </is>
      </c>
      <c r="G25" s="15" t="inlineStr">
        <is>
          <t>passed</t>
        </is>
      </c>
      <c r="H25" s="16" t="inlineStr">
        <is>
          <t>25.10.2026</t>
        </is>
      </c>
      <c r="I25" s="17" t="inlineStr">
        <is>
          <t>Як очікувалось</t>
        </is>
      </c>
      <c r="J25" s="16" t="n"/>
      <c r="K25" s="16" t="n"/>
      <c r="L25" s="16" t="inlineStr">
        <is>
          <t>Дятлов М.</t>
        </is>
      </c>
      <c r="M25" s="16" t="inlineStr">
        <is>
          <t>localhost (див. аркуш Environment); Chrome</t>
        </is>
      </c>
    </row>
    <row r="26" ht="129.75" customHeight="1" s="11">
      <c r="A26" s="15" t="inlineStr">
        <is>
          <t>TC-022</t>
        </is>
      </c>
      <c r="B26" s="15" t="inlineStr">
        <is>
          <t>GUI-85</t>
        </is>
      </c>
      <c r="C26" s="15" t="inlineStr">
        <is>
          <t>Форма «Send Us a Message» містить поля Name, Email, Phone, Subject, багаторядкове Message і кнопку «Submit»</t>
        </is>
      </c>
      <c r="D26" s="15" t="inlineStr">
        <is>
          <t>Chrome (поточна версія), нова сесія (інкогніто); без входу; demo https://automationintesting.online доступне</t>
        </is>
      </c>
      <c r="E26" s="16" t="inlineStr">
        <is>
          <t>1. Відкрити https://automationintesting.online.
2. Натиснути «Contact» у меню.
3. Переглянути поля форми.
4. У поле Message ввести два рядки через Enter: «T3 line one» і «T3 line two».
5. Закрити вкладку.</t>
        </is>
      </c>
      <c r="F26" s="16" t="inlineStr">
        <is>
          <t>1. Головна сторінка готелю завантажується.
2. Сторінку прокручено до форми.
3. Є поля Name, Email, Phone, Subject, Message і кнопка «Submit».
4. Обидва рядки відображаються у полі окремо (поле багаторядкове).
5. Вкладку закрито; кейс завершено.</t>
        </is>
      </c>
      <c r="G26" s="15" t="inlineStr">
        <is>
          <t>passed</t>
        </is>
      </c>
      <c r="H26" s="16" t="inlineStr">
        <is>
          <t>25.10.2026</t>
        </is>
      </c>
      <c r="I26" s="17" t="inlineStr">
        <is>
          <t>Як очікувалось</t>
        </is>
      </c>
      <c r="J26" s="16" t="n"/>
      <c r="K26" s="16" t="n"/>
      <c r="L26" s="16" t="inlineStr">
        <is>
          <t>Дятлов М.</t>
        </is>
      </c>
      <c r="M26" s="16" t="inlineStr">
        <is>
          <t>localhost (див. аркуш Environment); Chrome</t>
        </is>
      </c>
    </row>
    <row r="27" ht="207.75" customHeight="1" s="11">
      <c r="A27" s="15" t="inlineStr">
        <is>
          <t>TC-023</t>
        </is>
      </c>
      <c r="B27" s="15" t="inlineStr">
        <is>
          <t>GUI-60, F-70</t>
        </is>
      </c>
      <c r="C27" s="15" t="inlineStr">
        <is>
          <t>Контактна форма з порожньою темою: помилка називає поле Subject, стоїть над кнопкою, без технічних кодів, до 100 символів</t>
        </is>
      </c>
      <c r="D27" s="15" t="inlineStr">
        <is>
          <t>Chrome (поточна версія), нова сесія (інкогніто); без входу; demo https://automationintesting.online доступне</t>
        </is>
      </c>
      <c r="E27" s="16" t="inlineStr">
        <is>
          <t>1. Відкрити https://automationintesting.online.
2. Натиснути «Contact» у меню.
3. У поле Name ввести T3-Guest.
4. У поле Email ввести t3.guest@example.com.
5. У поле Phone ввести +380001234567.
6. У поле Message ввести T3 test message about booking dates.
7. Натиснути «Submit».
8. Закрити вкладку.</t>
        </is>
      </c>
      <c r="F27"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Над кнопкою «Submit» показано перелік помилок; є помилка, що називає поле Subject і причину; довжина кожного повідомлення до 100 символів; технічних кодів немає; форма лишається; подяку не показано.
8. Вкладку закрито; кейс завершено.</t>
        </is>
      </c>
      <c r="G27" s="15" t="inlineStr">
        <is>
          <t>passed</t>
        </is>
      </c>
      <c r="H27" s="16" t="inlineStr">
        <is>
          <t>25.10.2026</t>
        </is>
      </c>
      <c r="I27" s="17" t="inlineStr">
        <is>
          <t>Як очікувалось</t>
        </is>
      </c>
      <c r="J27" s="16" t="n"/>
      <c r="K27" s="16" t="n"/>
      <c r="L27" s="16" t="inlineStr">
        <is>
          <t>Дятлов М.</t>
        </is>
      </c>
      <c r="M27" s="16" t="inlineStr">
        <is>
          <t>localhost (див. аркуш Environment); Chrome</t>
        </is>
      </c>
    </row>
    <row r="28" ht="234" customHeight="1" s="11">
      <c r="A28" s="15" t="inlineStr">
        <is>
          <t>TC-024</t>
        </is>
      </c>
      <c r="B28" s="15" t="inlineStr">
        <is>
          <t>F-70</t>
        </is>
      </c>
      <c r="C28" s="15" t="inlineStr">
        <is>
          <t>Контактна форма: тема довжиною 4 символи відхиляється (діапазон 5–100)</t>
        </is>
      </c>
      <c r="D28" s="15" t="inlineStr">
        <is>
          <t>Chrome (поточна версія), нова сесія (інкогніто); без входу; demo https://automationintesting.online доступне</t>
        </is>
      </c>
      <c r="E28"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«T3-A».
7. У поле Message ввести «T3 boundary message text ok».
8. Натиснути «Submit».
9. Закрити вкладку.</t>
        </is>
      </c>
      <c r="F28"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Над кнопкою показано помилку, що називає поле Subject і причину (довжина поза 5–100); повідомлення не збережено; форма лишається.
9. Вкладку закрито; кейс завершено.</t>
        </is>
      </c>
      <c r="G28" s="15" t="inlineStr">
        <is>
          <t>passed</t>
        </is>
      </c>
      <c r="H28" s="16" t="inlineStr">
        <is>
          <t>25.10.2026</t>
        </is>
      </c>
      <c r="I28" s="17" t="inlineStr">
        <is>
          <t>Як очікувалось</t>
        </is>
      </c>
      <c r="J28" s="16" t="n"/>
      <c r="K28" s="16" t="n"/>
      <c r="L28" s="16" t="inlineStr">
        <is>
          <t>Дятлов М.</t>
        </is>
      </c>
      <c r="M28" s="16" t="inlineStr">
        <is>
          <t>localhost (див. аркуш Environment); Chrome</t>
        </is>
      </c>
    </row>
    <row r="29" ht="234" customHeight="1" s="11">
      <c r="A29" s="15" t="inlineStr">
        <is>
          <t>TC-025</t>
        </is>
      </c>
      <c r="B29" s="15" t="inlineStr">
        <is>
          <t>F-70</t>
        </is>
      </c>
      <c r="C29" s="15" t="inlineStr">
        <is>
          <t>Контактна форма: тема довжиною 5 символів приймається (діапазон 5–100)</t>
        </is>
      </c>
      <c r="D29" s="15" t="inlineStr">
        <is>
          <t>Chrome (поточна версія), нова сесія (інкогніто); без входу; demo https://automationintesting.online доступне</t>
        </is>
      </c>
      <c r="E29"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«T3-AB».
7. У поле Message ввести «T3 boundary message text ok».
8. Натиснути «Submit».
9. Закрити вкладку.</t>
        </is>
      </c>
      <c r="F29"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Форма замінена подякою з темою з кроку «Subject»; помилок немає.
9. Вкладку закрито; кейс завершено.</t>
        </is>
      </c>
      <c r="G29" s="15" t="inlineStr">
        <is>
          <t>passed</t>
        </is>
      </c>
      <c r="H29" s="16" t="inlineStr">
        <is>
          <t>25.10.2026</t>
        </is>
      </c>
      <c r="I29" s="17" t="inlineStr">
        <is>
          <t>Як очікувалось</t>
        </is>
      </c>
      <c r="J29" s="16" t="n"/>
      <c r="K29" s="16" t="n"/>
      <c r="L29" s="16" t="inlineStr">
        <is>
          <t>Дятлов М.</t>
        </is>
      </c>
      <c r="M29" s="16" t="inlineStr">
        <is>
          <t>localhost (див. аркуш Environment); Chrome</t>
        </is>
      </c>
    </row>
    <row r="30" ht="259.5" customHeight="1" s="11">
      <c r="A30" s="15" t="inlineStr">
        <is>
          <t>TC-026</t>
        </is>
      </c>
      <c r="B30" s="15" t="inlineStr">
        <is>
          <t>F-70</t>
        </is>
      </c>
      <c r="C30" s="15" t="inlineStr">
        <is>
          <t>Контактна форма: тема довжиною 100 символів приймається (діапазон 5–100)</t>
        </is>
      </c>
      <c r="D30" s="15" t="inlineStr">
        <is>
          <t>Chrome (поточна версія), нова сесія (інкогніто); без входу; demo https://automationintesting.online доступне; DevTools (F12 → Console) доступні для генерації рядка</t>
        </is>
      </c>
      <c r="E30" s="16" t="inlineStr">
        <is>
          <t>1. Відкрити https://automationintesting.online.
2. Натиснути «Contact» у меню.
3. У поле Name ввести T3-Guest.
4. У поле Email ввести t3.guest@example.com.
5. У поле Phone ввести +380001234567.
6. У консолі DevTools (F12 → Console) виконати copy('T3-'+'A'.repeat(97)).
7. У поле Subject вставити вміст буфера обміну (Ctrl+V).
8. У поле Message ввести «T3 boundary message text ok».
9. Натиснути «Submit».
10. Закрити вкладку.</t>
        </is>
      </c>
      <c r="F30"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У буфері обміну рядок довжиною 100: «T3-» і 97 символів «A».
7. Значення вставлено в поле; повідомлень про помилку немає.
8. Значення введено в поле; повідомлень про помилку немає.
9. Форма замінена подякою з темою з кроку «Subject»; помилок немає.
10. Вкладку закрито; кейс завершено.</t>
        </is>
      </c>
      <c r="G30" s="15" t="inlineStr">
        <is>
          <t>passed</t>
        </is>
      </c>
      <c r="H30" s="16" t="inlineStr">
        <is>
          <t>25.10.2026</t>
        </is>
      </c>
      <c r="I30" s="17" t="inlineStr">
        <is>
          <t>Як очікувалось</t>
        </is>
      </c>
      <c r="J30" s="16" t="n"/>
      <c r="K30" s="16" t="n"/>
      <c r="L30" s="16" t="inlineStr">
        <is>
          <t>Дятлов М.</t>
        </is>
      </c>
      <c r="M30" s="16" t="inlineStr">
        <is>
          <t>localhost (див. аркуш Environment); Chrome</t>
        </is>
      </c>
    </row>
    <row r="31" ht="259.5" customHeight="1" s="11">
      <c r="A31" s="15" t="inlineStr">
        <is>
          <t>TC-027</t>
        </is>
      </c>
      <c r="B31" s="15" t="inlineStr">
        <is>
          <t>F-70</t>
        </is>
      </c>
      <c r="C31" s="15" t="inlineStr">
        <is>
          <t>Контактна форма: тема довжиною 101 символ відхиляється (діапазон 5–100)</t>
        </is>
      </c>
      <c r="D31" s="15" t="inlineStr">
        <is>
          <t>Chrome (поточна версія), нова сесія (інкогніто); без входу; demo https://automationintesting.online доступне; DevTools (F12 → Console) доступні для генерації рядка</t>
        </is>
      </c>
      <c r="E31" s="16" t="inlineStr">
        <is>
          <t>1. Відкрити https://automationintesting.online.
2. Натиснути «Contact» у меню.
3. У поле Name ввести T3-Guest.
4. У поле Email ввести t3.guest@example.com.
5. У поле Phone ввести +380001234567.
6. У консолі DevTools (F12 → Console) виконати copy('T3-'+'A'.repeat(98)).
7. У поле Subject вставити вміст буфера обміну (Ctrl+V).
8. У поле Message ввести «T3 boundary message text ok».
9. Натиснути «Submit».
10. Закрити вкладку.</t>
        </is>
      </c>
      <c r="F31"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У буфері обміну рядок довжиною 101: «T3-» і 98 символів «A».
7. Значення вставлено в поле; повідомлень про помилку немає.
8. Значення введено в поле; повідомлень про помилку немає.
9. Над кнопкою показано помилку, що називає поле Subject і причину (довжина поза 5–100); повідомлення не збережено; форма лишається.
10. Вкладку закрито; кейс завершено.</t>
        </is>
      </c>
      <c r="G31" s="15" t="inlineStr">
        <is>
          <t>passed</t>
        </is>
      </c>
      <c r="H31" s="16" t="inlineStr">
        <is>
          <t>25.10.2026</t>
        </is>
      </c>
      <c r="I31" s="17" t="inlineStr">
        <is>
          <t>Як очікувалось</t>
        </is>
      </c>
      <c r="J31" s="16" t="n"/>
      <c r="K31" s="16" t="n"/>
      <c r="L31" s="16" t="inlineStr">
        <is>
          <t>Дятлов М.</t>
        </is>
      </c>
      <c r="M31" s="16" t="inlineStr">
        <is>
          <t>localhost (див. аркуш Environment); Chrome</t>
        </is>
      </c>
    </row>
    <row r="32" ht="259.5" customHeight="1" s="11">
      <c r="A32" s="15" t="inlineStr">
        <is>
          <t>TC-028</t>
        </is>
      </c>
      <c r="B32" s="15" t="inlineStr">
        <is>
          <t>F-70</t>
        </is>
      </c>
      <c r="C32" s="15" t="inlineStr">
        <is>
          <t>Контактна форма: повідомлення довжиною 19 символів відхиляється (діапазон 20–2000)</t>
        </is>
      </c>
      <c r="D32" s="15" t="inlineStr">
        <is>
          <t>Chrome (поточна версія), нова сесія (інкогніто); без входу; demo https://automationintesting.online доступне; DevTools (F12 → Console) доступні для генерації рядка</t>
        </is>
      </c>
      <c r="E32"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T3-Boundary.
7. У консолі DevTools (F12 → Console) виконати copy('M'.repeat(19)).
8. У поле Message вставити вміст буфера обміну (Ctrl+V).
9. Натиснути «Submit».
10. Закрити вкладку.</t>
        </is>
      </c>
      <c r="F32"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У буфері обміну рядок довжиною 19: символ «M».
8. Значення вставлено в поле; повідомлень про помилку немає.
9. Над кнопкою показано помилку, що називає поле Message і причину (довжина поза 20–2000); повідомлення не збережено; форма лишається.
10. Вкладку закрито; кейс завершено.</t>
        </is>
      </c>
      <c r="G32" s="15" t="inlineStr">
        <is>
          <t>passed</t>
        </is>
      </c>
      <c r="H32" s="16" t="inlineStr">
        <is>
          <t>25.10.2026</t>
        </is>
      </c>
      <c r="I32" s="17" t="inlineStr">
        <is>
          <t>Як очікувалось</t>
        </is>
      </c>
      <c r="J32" s="16" t="n"/>
      <c r="K32" s="16" t="n"/>
      <c r="L32" s="16" t="inlineStr">
        <is>
          <t>Дятлов М.</t>
        </is>
      </c>
      <c r="M32" s="16" t="inlineStr">
        <is>
          <t>localhost (див. аркуш Environment); Chrome</t>
        </is>
      </c>
    </row>
    <row r="33" ht="259.5" customHeight="1" s="11">
      <c r="A33" s="15" t="inlineStr">
        <is>
          <t>TC-029</t>
        </is>
      </c>
      <c r="B33" s="15" t="inlineStr">
        <is>
          <t>F-70</t>
        </is>
      </c>
      <c r="C33" s="15" t="inlineStr">
        <is>
          <t>Контактна форма: повідомлення довжиною 20 символів приймається (діапазон 20–2000)</t>
        </is>
      </c>
      <c r="D33" s="15" t="inlineStr">
        <is>
          <t>Chrome (поточна версія), нова сесія (інкогніто); без входу; demo https://automationintesting.online доступне; DevTools (F12 → Console) доступні для генерації рядка</t>
        </is>
      </c>
      <c r="E33"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T3-Boundary.
7. У консолі DevTools (F12 → Console) виконати copy('M'.repeat(20)).
8. У поле Message вставити вміст буфера обміну (Ctrl+V).
9. Натиснути «Submit».
10. Закрити вкладку.</t>
        </is>
      </c>
      <c r="F33"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У буфері обміну рядок довжиною 20: символ «M».
8. Значення вставлено в поле; повідомлень про помилку немає.
9. Форма замінена подякою; помилок немає.
10. Вкладку закрито; кейс завершено.</t>
        </is>
      </c>
      <c r="G33" s="15" t="inlineStr">
        <is>
          <t>passed</t>
        </is>
      </c>
      <c r="H33" s="16" t="inlineStr">
        <is>
          <t>25.10.2026</t>
        </is>
      </c>
      <c r="I33" s="17" t="inlineStr">
        <is>
          <t>Як очікувалось</t>
        </is>
      </c>
      <c r="J33" s="16" t="n"/>
      <c r="K33" s="16" t="n"/>
      <c r="L33" s="16" t="inlineStr">
        <is>
          <t>Дятлов М.</t>
        </is>
      </c>
      <c r="M33" s="16" t="inlineStr">
        <is>
          <t>localhost (див. аркуш Environment); Chrome</t>
        </is>
      </c>
    </row>
    <row r="34" ht="259.5" customHeight="1" s="11">
      <c r="A34" s="15" t="inlineStr">
        <is>
          <t>TC-030</t>
        </is>
      </c>
      <c r="B34" s="15" t="inlineStr">
        <is>
          <t>F-70</t>
        </is>
      </c>
      <c r="C34" s="15" t="inlineStr">
        <is>
          <t>Контактна форма: повідомлення довжиною 2000 символів приймається (діапазон 20–2000)</t>
        </is>
      </c>
      <c r="D34" s="15" t="inlineStr">
        <is>
          <t>Chrome (поточна версія), нова сесія (інкогніто); без входу; demo https://automationintesting.online доступне; DevTools (F12 → Console) доступні для генерації рядка</t>
        </is>
      </c>
      <c r="E34"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T3-Boundary.
7. У консолі DevTools (F12 → Console) виконати copy('M'.repeat(2000)).
8. У поле Message вставити вміст буфера обміну (Ctrl+V).
9. Натиснути «Submit».
10. Закрити вкладку.</t>
        </is>
      </c>
      <c r="F34"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У буфері обміну рядок довжиною 2000: символ «M».
8. Значення вставлено в поле; повідомлень про помилку немає.
9. Форма замінена подякою; помилок немає.
10. Вкладку закрито; кейс завершено.</t>
        </is>
      </c>
      <c r="G34" s="15" t="inlineStr">
        <is>
          <t>passed</t>
        </is>
      </c>
      <c r="H34" s="16" t="inlineStr">
        <is>
          <t>25.10.2026</t>
        </is>
      </c>
      <c r="I34" s="17" t="inlineStr">
        <is>
          <t>Як очікувалось</t>
        </is>
      </c>
      <c r="J34" s="16" t="n"/>
      <c r="K34" s="16" t="n"/>
      <c r="L34" s="16" t="inlineStr">
        <is>
          <t>Дятлов М.</t>
        </is>
      </c>
      <c r="M34" s="16" t="inlineStr">
        <is>
          <t>localhost (див. аркуш Environment); Chrome</t>
        </is>
      </c>
    </row>
    <row r="35" ht="259.5" customHeight="1" s="11">
      <c r="A35" s="15" t="inlineStr">
        <is>
          <t>TC-031</t>
        </is>
      </c>
      <c r="B35" s="15" t="inlineStr">
        <is>
          <t>F-70</t>
        </is>
      </c>
      <c r="C35" s="15" t="inlineStr">
        <is>
          <t>Контактна форма: повідомлення довжиною 2001 символ відхиляється (діапазон 20–2000)</t>
        </is>
      </c>
      <c r="D35" s="15" t="inlineStr">
        <is>
          <t>Chrome (поточна версія), нова сесія (інкогніто); без входу; demo https://automationintesting.online доступне; DevTools (F12 → Console) доступні для генерації рядка</t>
        </is>
      </c>
      <c r="E35" s="16" t="inlineStr">
        <is>
          <t>1. Відкрити https://automationintesting.online.
2. Натиснути «Contact» у меню.
3. У поле Name ввести T3-Guest.
4. У поле Email ввести t3.guest@example.com.
5. У поле Phone ввести +380001234567.
6. У поле Subject ввести T3-Boundary.
7. У консолі DevTools (F12 → Console) виконати copy('M'.repeat(2001)).
8. У поле Message вставити вміст буфера обміну (Ctrl+V).
9. Натиснути «Submit».
10. Закрити вкладку.</t>
        </is>
      </c>
      <c r="F35"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У буфері обміну рядок довжиною 2001: символ «M».
8. Значення вставлено в поле; повідомлень про помилку немає.
9. Над кнопкою показано помилку, що називає поле Message і причину (довжина поза 20–2000); повідомлення не збережено; форма лишається.
10. Вкладку закрито; кейс завершено.</t>
        </is>
      </c>
      <c r="G35" s="15" t="inlineStr">
        <is>
          <t>passed</t>
        </is>
      </c>
      <c r="H35" s="16" t="inlineStr">
        <is>
          <t>25.10.2026</t>
        </is>
      </c>
      <c r="I35" s="17" t="inlineStr">
        <is>
          <t>Як очікувалось</t>
        </is>
      </c>
      <c r="J35" s="16" t="n"/>
      <c r="K35" s="16" t="n"/>
      <c r="L35" s="16" t="inlineStr">
        <is>
          <t>Дятлов М.</t>
        </is>
      </c>
      <c r="M35" s="16" t="inlineStr">
        <is>
          <t>localhost (див. аркуш Environment); Chrome</t>
        </is>
      </c>
    </row>
    <row r="36" ht="234" customHeight="1" s="11">
      <c r="A36" s="15" t="inlineStr">
        <is>
          <t>TC-032</t>
        </is>
      </c>
      <c r="B36" s="15" t="inlineStr">
        <is>
          <t>F-70</t>
        </is>
      </c>
      <c r="C36" s="15" t="inlineStr">
        <is>
          <t>Контактна форма: телефон довжиною 10 символів відхиляється (діапазон 11–21)</t>
        </is>
      </c>
      <c r="D36" s="15" t="inlineStr">
        <is>
          <t>Chrome (поточна версія), нова сесія (інкогніто); без входу; demo https://automationintesting.online доступне</t>
        </is>
      </c>
      <c r="E36" s="16" t="inlineStr">
        <is>
          <t>1. Відкрити https://automationintesting.online.
2. Натиснути «Contact» у меню.
3. У поле Name ввести T3-Guest.
4. У поле Email ввести t3.guest@example.com.
5. У поле Phone ввести «3456789012» (10 цифр).
6. У поле Subject ввести «T3-Phone boundary».
7. У поле Message ввести «T3 boundary message text ok».
8. Натиснути «Submit».
9. Закрити вкладку.</t>
        </is>
      </c>
      <c r="F36"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Над кнопкою показано помилку, що називає поле Phone і причину (довжина поза 11–21); повідомлення не збережено; форма лишається.
9. Вкладку закрито; кейс завершено.</t>
        </is>
      </c>
      <c r="G36" s="15" t="inlineStr">
        <is>
          <t>passed</t>
        </is>
      </c>
      <c r="H36" s="16" t="inlineStr">
        <is>
          <t>25.10.2026</t>
        </is>
      </c>
      <c r="I36" s="17" t="inlineStr">
        <is>
          <t>Як очікувалось</t>
        </is>
      </c>
      <c r="J36" s="16" t="n"/>
      <c r="K36" s="16" t="n"/>
      <c r="L36" s="16" t="inlineStr">
        <is>
          <t>Дятлов М.</t>
        </is>
      </c>
      <c r="M36" s="16" t="inlineStr">
        <is>
          <t>localhost (див. аркуш Environment); Chrome</t>
        </is>
      </c>
    </row>
    <row r="37" ht="234" customHeight="1" s="11">
      <c r="A37" s="15" t="inlineStr">
        <is>
          <t>TC-033</t>
        </is>
      </c>
      <c r="B37" s="15" t="inlineStr">
        <is>
          <t>F-70</t>
        </is>
      </c>
      <c r="C37" s="15" t="inlineStr">
        <is>
          <t>Контактна форма: телефон довжиною 11 символів приймається (діапазон 11–21)</t>
        </is>
      </c>
      <c r="D37" s="15" t="inlineStr">
        <is>
          <t>Chrome (поточна версія), нова сесія (інкогніто); без входу; demo https://automationintesting.online доступне</t>
        </is>
      </c>
      <c r="E37" s="16" t="inlineStr">
        <is>
          <t>1. Відкрити https://automationintesting.online.
2. Натиснути «Contact» у меню.
3. У поле Name ввести T3-Guest.
4. У поле Email ввести t3.guest@example.com.
5. У поле Phone ввести «34567890123» (11 цифр).
6. У поле Subject ввести «T3-Phone boundary».
7. У поле Message ввести «T3 boundary message text ok».
8. Натиснути «Submit».
9. Закрити вкладку.</t>
        </is>
      </c>
      <c r="F37"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Форма замінена подякою; помилок немає.
9. Вкладку закрито; кейс завершено.</t>
        </is>
      </c>
      <c r="G37" s="15" t="inlineStr">
        <is>
          <t>passed</t>
        </is>
      </c>
      <c r="H37" s="16" t="inlineStr">
        <is>
          <t>25.10.2026</t>
        </is>
      </c>
      <c r="I37" s="17" t="inlineStr">
        <is>
          <t>Як очікувалось</t>
        </is>
      </c>
      <c r="J37" s="16" t="n"/>
      <c r="K37" s="16" t="n"/>
      <c r="L37" s="16" t="inlineStr">
        <is>
          <t>Дятлов М.</t>
        </is>
      </c>
      <c r="M37" s="16" t="inlineStr">
        <is>
          <t>localhost (див. аркуш Environment); Chrome</t>
        </is>
      </c>
    </row>
    <row r="38" ht="234" customHeight="1" s="11">
      <c r="A38" s="15" t="inlineStr">
        <is>
          <t>TC-034</t>
        </is>
      </c>
      <c r="B38" s="15" t="inlineStr">
        <is>
          <t>F-70</t>
        </is>
      </c>
      <c r="C38" s="15" t="inlineStr">
        <is>
          <t>Контактна форма: телефон довжиною 21 символ приймається (діапазон 11–21)</t>
        </is>
      </c>
      <c r="D38" s="15" t="inlineStr">
        <is>
          <t>Chrome (поточна версія), нова сесія (інкогніто); без входу; demo https://automationintesting.online доступне</t>
        </is>
      </c>
      <c r="E38" s="16" t="inlineStr">
        <is>
          <t>1. Відкрити https://automationintesting.online.
2. Натиснути «Contact» у меню.
3. У поле Name ввести T3-Guest.
4. У поле Email ввести t3.guest@example.com.
5. У поле Phone ввести «345678901234567890123» (21 цифра).
6. У поле Subject ввести «T3-Phone boundary».
7. У поле Message ввести «T3 boundary message text ok».
8. Натиснути «Submit».
9. Закрити вкладку.</t>
        </is>
      </c>
      <c r="F38"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Форма замінена подякою; помилок немає.
9. Вкладку закрито; кейс завершено.</t>
        </is>
      </c>
      <c r="G38" s="15" t="inlineStr">
        <is>
          <t>passed</t>
        </is>
      </c>
      <c r="H38" s="16" t="inlineStr">
        <is>
          <t>25.10.2026</t>
        </is>
      </c>
      <c r="I38" s="17" t="inlineStr">
        <is>
          <t>Як очікувалось</t>
        </is>
      </c>
      <c r="J38" s="16" t="n"/>
      <c r="K38" s="16" t="n"/>
      <c r="L38" s="16" t="inlineStr">
        <is>
          <t>Дятлов М.</t>
        </is>
      </c>
      <c r="M38" s="16" t="inlineStr">
        <is>
          <t>localhost (див. аркуш Environment); Chrome</t>
        </is>
      </c>
    </row>
    <row r="39" ht="234" customHeight="1" s="11">
      <c r="A39" s="15" t="inlineStr">
        <is>
          <t>TC-035</t>
        </is>
      </c>
      <c r="B39" s="15" t="inlineStr">
        <is>
          <t>F-70</t>
        </is>
      </c>
      <c r="C39" s="15" t="inlineStr">
        <is>
          <t>Контактна форма: телефон довжиною 22 символи відхиляється (діапазон 11–21)</t>
        </is>
      </c>
      <c r="D39" s="15" t="inlineStr">
        <is>
          <t>Chrome (поточна версія), нова сесія (інкогніто); без входу; demo https://automationintesting.online доступне</t>
        </is>
      </c>
      <c r="E39" s="16" t="inlineStr">
        <is>
          <t>1. Відкрити https://automationintesting.online.
2. Натиснути «Contact» у меню.
3. У поле Name ввести T3-Guest.
4. У поле Email ввести t3.guest@example.com.
5. У поле Phone ввести «3456789012345678901234» (22 цифри).
6. У поле Subject ввести «T3-Phone boundary».
7. У поле Message ввести «T3 boundary message text ok».
8. Натиснути «Submit».
9. Закрити вкладку.</t>
        </is>
      </c>
      <c r="F39"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Над кнопкою показано помилку, що називає поле Phone і причину (довжина поза 11–21); повідомлення не збережено; форма лишається.
9. Вкладку закрито; кейс завершено.</t>
        </is>
      </c>
      <c r="G39" s="15" t="inlineStr">
        <is>
          <t>passed</t>
        </is>
      </c>
      <c r="H39" s="16" t="inlineStr">
        <is>
          <t>25.10.2026</t>
        </is>
      </c>
      <c r="I39" s="17" t="inlineStr">
        <is>
          <t>Як очікувалось</t>
        </is>
      </c>
      <c r="J39" s="16" t="n"/>
      <c r="K39" s="16" t="n"/>
      <c r="L39" s="16" t="inlineStr">
        <is>
          <t>Дятлов М.</t>
        </is>
      </c>
      <c r="M39" s="16" t="inlineStr">
        <is>
          <t>localhost (див. аркуш Environment); Chrome</t>
        </is>
      </c>
    </row>
    <row r="40" ht="129.75" customHeight="1" s="11">
      <c r="A40" s="15" t="inlineStr">
        <is>
          <t>TC-036</t>
        </is>
      </c>
      <c r="B40" s="15" t="inlineStr">
        <is>
          <t>F-80</t>
        </is>
      </c>
      <c r="C40" s="15" t="inlineStr">
        <is>
          <t>Вхід admin / password відкриває розділ керування номерами</t>
        </is>
      </c>
      <c r="D40" s="15" t="inlineStr">
        <is>
          <t>Chrome (поточна версія), нова сесія (інкогніто); обліковий запис адміністратора admin / password; demo https://automationintesting.online/admin доступне</t>
        </is>
      </c>
      <c r="E40" s="16" t="inlineStr">
        <is>
          <t>1. Відкрити https://automationintesting.online/admin.
2. У поле Username ввести «admin».
3. У поле Password ввести «password».
4. Натиснути «Login».
5. Натиснути «Logout» у шапці адмінпанелі.</t>
        </is>
      </c>
      <c r="F40"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Повернення на сторінку входу /admin.</t>
        </is>
      </c>
      <c r="G40" s="15" t="inlineStr">
        <is>
          <t>passed</t>
        </is>
      </c>
      <c r="H40" s="16" t="inlineStr">
        <is>
          <t>25.10.2026</t>
        </is>
      </c>
      <c r="I40" s="17" t="inlineStr">
        <is>
          <t>Як очікувалось</t>
        </is>
      </c>
      <c r="J40" s="16" t="n"/>
      <c r="K40" s="16" t="n"/>
      <c r="L40" s="16" t="inlineStr">
        <is>
          <t>Дятлов М.</t>
        </is>
      </c>
      <c r="M40" s="16" t="inlineStr">
        <is>
          <t>localhost (див. аркуш Environment); Chrome</t>
        </is>
      </c>
    </row>
    <row r="41" ht="129.75" customHeight="1" s="11">
      <c r="A41" s="15" t="inlineStr">
        <is>
          <t>TC-037</t>
        </is>
      </c>
      <c r="B41" s="15" t="inlineStr">
        <is>
          <t>F-80</t>
        </is>
      </c>
      <c r="C41" s="15" t="inlineStr">
        <is>
          <t>Вхід із неправильним паролем не надає доступу, користувач лишається на сторінці входу</t>
        </is>
      </c>
      <c r="D41" s="15" t="inlineStr">
        <is>
          <t>Chrome (поточна версія), нова сесія (інкогніто); обліковий запис адміністратора admin / password; demo https://automationintesting.online/admin доступне</t>
        </is>
      </c>
      <c r="E41" s="16" t="inlineStr">
        <is>
          <t>1. Відкрити https://automationintesting.online/admin.
2. У поле Username ввести «admin».
3. У поле Password ввести «T3-wrong».
4. Натиснути «Login».
5. Закрити вкладку.</t>
        </is>
      </c>
      <c r="F41" s="16" t="inlineStr">
        <is>
          <t>1. Відкрито сторінку входу до адмінпанелі.
2. Значення введено в поле; повідомлень про помилку немає.
3. Символи пароля маскуються.
4. Користувач лишається на сторінці входу; розділ керування номерами не відкрито.
5. Вкладку закрито; кейс завершено.</t>
        </is>
      </c>
      <c r="G41" s="15" t="inlineStr">
        <is>
          <t>passed</t>
        </is>
      </c>
      <c r="H41" s="16" t="inlineStr">
        <is>
          <t>25.10.2026</t>
        </is>
      </c>
      <c r="I41" s="17" t="inlineStr">
        <is>
          <t>Як очікувалось</t>
        </is>
      </c>
      <c r="J41" s="16" t="n"/>
      <c r="K41" s="16" t="n"/>
      <c r="L41" s="16" t="inlineStr">
        <is>
          <t>Дятлов М.</t>
        </is>
      </c>
      <c r="M41" s="16" t="inlineStr">
        <is>
          <t>localhost (див. аркуш Environment); Chrome</t>
        </is>
      </c>
    </row>
    <row r="42" ht="181.5" customHeight="1" s="11">
      <c r="A42" s="15" t="inlineStr">
        <is>
          <t>TC-038</t>
        </is>
      </c>
      <c r="B42" s="15" t="inlineStr">
        <is>
          <t>GUI-70</t>
        </is>
      </c>
      <c r="C42" s="15" t="inlineStr">
        <is>
          <t>Сторінка входу містить заголовок «Login», поля з підказками, маскування пароля і кнопку «Login»</t>
        </is>
      </c>
      <c r="D42" s="15" t="inlineStr">
        <is>
          <t>Chrome (поточна версія), нова сесія (інкогніто); обліковий запис адміністратора admin / password; demo https://automationintesting.online/admin доступне</t>
        </is>
      </c>
      <c r="E42" s="16" t="inlineStr">
        <is>
          <t>1. Відкрити https://automationintesting.online/admin.
2. Переглянути заголовок і підписи полів.
3. Переглянути підказку (placeholder) поля Username.
4. Переглянути підказку (placeholder) порожнього поля Password.
5. У поле Password ввести «abc».
6. Переглянути кнопку під полями.
7. Закрити вкладку.</t>
        </is>
      </c>
      <c r="F42" s="16" t="inlineStr">
        <is>
          <t>1. Відкрито сторінку входу до адмінпанелі.
2. Заголовок «Login»; підписи «Username» і «Password».
3. Підказка «Enter username».
4. Підказка «Password».
5. Символи замінено маскою (крапки або зірочки), текст «abc» не видно.
6. Кнопка «Login».
7. Вкладку закрито; кейс завершено.</t>
        </is>
      </c>
      <c r="G42" s="15" t="inlineStr">
        <is>
          <t>passed</t>
        </is>
      </c>
      <c r="H42" s="16" t="inlineStr">
        <is>
          <t>25.10.2026</t>
        </is>
      </c>
      <c r="I42" s="17" t="inlineStr">
        <is>
          <t>Як очікувалось</t>
        </is>
      </c>
      <c r="J42" s="16" t="n"/>
      <c r="K42" s="16" t="n"/>
      <c r="L42" s="16" t="inlineStr">
        <is>
          <t>Дятлов М.</t>
        </is>
      </c>
      <c r="M42" s="16" t="inlineStr">
        <is>
          <t>localhost (див. аркуш Environment); Chrome</t>
        </is>
      </c>
    </row>
    <row r="43" ht="78" customHeight="1" s="11">
      <c r="A43" s="15" t="inlineStr">
        <is>
          <t>TC-039</t>
        </is>
      </c>
      <c r="B43" s="15" t="inlineStr">
        <is>
          <t>GUI-70</t>
        </is>
      </c>
      <c r="C43" s="15" t="inlineStr">
        <is>
          <t>Вхід із порожніми полями позначає поля форми як помилкові і не надає доступ</t>
        </is>
      </c>
      <c r="D43" s="15" t="inlineStr">
        <is>
          <t>Chrome (поточна версія), нова сесія (інкогніто); обліковий запис адміністратора admin / password; demo https://automationintesting.online/admin доступне</t>
        </is>
      </c>
      <c r="E43" s="16" t="inlineStr">
        <is>
          <t>1. Відкрити https://automationintesting.online/admin.
2. Натиснути «Login» з порожніми полями Username і Password.
3. Закрити вкладку.</t>
        </is>
      </c>
      <c r="F43" s="16" t="inlineStr">
        <is>
          <t>1. Відкрито сторінку входу до адмінпанелі.
2. Поля Username і Password обведено червоною рамкою; розділ керування номерами не відкрито.
3. Вкладку закрито; кейс завершено.</t>
        </is>
      </c>
      <c r="G43" s="15" t="inlineStr">
        <is>
          <t>passed</t>
        </is>
      </c>
      <c r="H43" s="16" t="inlineStr">
        <is>
          <t>25.10.2026</t>
        </is>
      </c>
      <c r="I43" s="17" t="inlineStr">
        <is>
          <t>Як очікувалось</t>
        </is>
      </c>
      <c r="J43" s="16" t="n"/>
      <c r="K43" s="16" t="n"/>
      <c r="L43" s="16" t="inlineStr">
        <is>
          <t>Дятлов М.</t>
        </is>
      </c>
      <c r="M43" s="16" t="inlineStr">
        <is>
          <t>localhost (див. аркуш Environment); Chrome</t>
        </is>
      </c>
    </row>
    <row r="44" ht="78" customHeight="1" s="11">
      <c r="A44" s="15" t="inlineStr">
        <is>
          <t>TC-040</t>
        </is>
      </c>
      <c r="B44" s="15" t="inlineStr">
        <is>
          <t>GUI-70</t>
        </is>
      </c>
      <c r="C44" s="15" t="inlineStr">
        <is>
          <t>Шапка сторінки входу містить посилання «Front Page» і кнопку «Logout»</t>
        </is>
      </c>
      <c r="D44" s="15" t="inlineStr">
        <is>
          <t>Chrome (поточна версія), нова сесія (інкогніто); обліковий запис адміністратора admin / password; demo https://automationintesting.online/admin доступне</t>
        </is>
      </c>
      <c r="E44" s="16" t="inlineStr">
        <is>
          <t>1. Відкрити https://automationintesting.online/admin.
2. Переглянути шапку сторінки входу.
3. Закрити вкладку.</t>
        </is>
      </c>
      <c r="F44" s="16" t="inlineStr">
        <is>
          <t>1. Відкрито сторінку входу до адмінпанелі.
2. У шапці є посилання «Front Page» і кнопка «Logout» (за GUI-70 SRS 1.1).
3. Вкладку закрито; кейс завершено.</t>
        </is>
      </c>
      <c r="G44" s="15" t="inlineStr">
        <is>
          <t>passed</t>
        </is>
      </c>
      <c r="H44" s="16" t="inlineStr">
        <is>
          <t>25.10.2026</t>
        </is>
      </c>
      <c r="I44" s="17" t="inlineStr">
        <is>
          <t>Як очікувалось</t>
        </is>
      </c>
      <c r="J44" s="16" t="n"/>
      <c r="K44" s="16" t="n"/>
      <c r="L44" s="16" t="inlineStr">
        <is>
          <t>Дятлов М.</t>
        </is>
      </c>
      <c r="M44" s="16" t="inlineStr">
        <is>
          <t>localhost (див. аркуш Environment); Chrome</t>
        </is>
      </c>
    </row>
    <row r="45" ht="207.75" customHeight="1" s="11">
      <c r="A45" s="15" t="inlineStr">
        <is>
          <t>TC-041</t>
        </is>
      </c>
      <c r="B45" s="15" t="inlineStr">
        <is>
          <t>F-85, S-10</t>
        </is>
      </c>
      <c r="C45" s="15" t="inlineStr">
        <is>
          <t>Після «Logout» адмінпанель повертає на сторінку входу, а пряма адреса розділу номерів без входу недоступна</t>
        </is>
      </c>
      <c r="D45" s="15" t="inlineStr">
        <is>
          <t>Chrome (поточна версія), нова сесія (інкогніто); обліковий запис адміністратора admin / password; demo https://automationintesting.online/admin доступне</t>
        </is>
      </c>
      <c r="E45" s="16" t="inlineStr">
        <is>
          <t>1. Відкрити https://automationintesting.online/admin.
2. У поле Username ввести «admin».
3. У поле Password ввести «password».
4. Натиснути «Login».
5. Скопіювати адресу розділу номерів із адресного рядка.
6. Натиснути «Logout» у шапці адмінпанелі.
7. Вставити скопійовану адресу в адресний рядок і натиснути Enter.
8. Закрити вкладку.</t>
        </is>
      </c>
      <c r="F45"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Адресу скопійовано.
6. Повернення на сторінку входу /admin.
7. Відкрито сторінку входу; вмісту адмінпанелі немає.
8. Вкладку закрито; кейс завершено.</t>
        </is>
      </c>
      <c r="G45" s="15" t="inlineStr">
        <is>
          <t>passed</t>
        </is>
      </c>
      <c r="H45" s="16" t="inlineStr">
        <is>
          <t>25.10.2026</t>
        </is>
      </c>
      <c r="I45" s="17" t="inlineStr">
        <is>
          <t>Як очікувалось</t>
        </is>
      </c>
      <c r="J45" s="16" t="n"/>
      <c r="K45" s="16" t="n"/>
      <c r="L45" s="16" t="inlineStr">
        <is>
          <t>Дятлов М.</t>
        </is>
      </c>
      <c r="M45" s="16" t="inlineStr">
        <is>
          <t>localhost (див. аркуш Environment); Chrome</t>
        </is>
      </c>
    </row>
    <row r="46" ht="129.75" customHeight="1" s="11">
      <c r="A46" s="15" t="inlineStr">
        <is>
          <t>TC-042</t>
        </is>
      </c>
      <c r="B46" s="15" t="inlineStr">
        <is>
          <t>S-10</t>
        </is>
      </c>
      <c r="C46" s="15" t="inlineStr">
        <is>
          <t>Сторінка входу /admin і запит входу працюють через HTTPS</t>
        </is>
      </c>
      <c r="D46" s="15" t="inlineStr">
        <is>
          <t>Chrome (поточна версія), нова сесія (інкогніто); обліковий запис адміністратора admin / password; demo https://automationintesting.online/admin доступне; DevTools → Network відкрито</t>
        </is>
      </c>
      <c r="E46" s="16" t="inlineStr">
        <is>
          <t>1. Відкрити https://automationintesting.online/admin.
2. Переглянути індикатор безпеки в адресному рядку.
3. У поле Username ввести «admin», у поле Password — «password» і натиснути «Login» (Network записує запит).
4. У Network знайти запит входу і переглянути поле Request URL.
5. Натиснути «Logout» у шапці адмінпанелі.</t>
        </is>
      </c>
      <c r="F46" s="16" t="inlineStr">
        <is>
          <t>1. Відкрито сторінку входу до адмінпанелі.
2. Адреса починається з https://; з'єднання позначено як захищене.
3. Відкрито розділ керування номерами.
4. Request URL починається з https://.
5. Повернення на сторінку входу /admin.</t>
        </is>
      </c>
      <c r="G46" s="15" t="inlineStr">
        <is>
          <t>blocked</t>
        </is>
      </c>
      <c r="H46" s="16" t="inlineStr">
        <is>
          <t>25.10.2026</t>
        </is>
      </c>
      <c r="I46" s="17" t="inlineStr">
        <is>
          <t>Не виконано: перевірку неможливо виконати на локальному стенді.</t>
        </is>
      </c>
      <c r="J46" s="16" t="inlineStr">
        <is>
          <t>—</t>
        </is>
      </c>
      <c r="K46" s="16" t="inlineStr">
        <is>
          <t>Локально немає HTTPS, S-10 перевірити неможливо. Issue не заводимо.</t>
        </is>
      </c>
      <c r="L46" s="16" t="inlineStr">
        <is>
          <t>Дятлов М.</t>
        </is>
      </c>
      <c r="M46" s="16" t="inlineStr">
        <is>
          <t>localhost (див. аркуш Environment); Chrome</t>
        </is>
      </c>
    </row>
    <row r="47" ht="156" customHeight="1" s="11">
      <c r="A47" s="15" t="inlineStr">
        <is>
          <t>TC-043</t>
        </is>
      </c>
      <c r="B47" s="15" t="inlineStr">
        <is>
          <t>F-90</t>
        </is>
      </c>
      <c r="C47" s="15" t="inlineStr">
        <is>
          <t>Розділ номерів показує перелік із номером, типом, доступністю, ціною і зручностями</t>
        </is>
      </c>
      <c r="D47" s="15" t="inlineStr">
        <is>
          <t>Chrome (поточна версія), нова сесія (інкогніто); обліковий запис адміністратора admin / password; demo https://automationintesting.online/admin доступне</t>
        </is>
      </c>
      <c r="E47" s="16" t="inlineStr">
        <is>
          <t>1. Відкрити https://automationintesting.online/admin.
2. У поле Username ввести «admin».
3. У поле Password ввести «password».
4. Натиснути «Login».
5. Переглянути перелік номерів.
6. Натиснути «Logout» у шапці адмінпанелі.</t>
        </is>
      </c>
      <c r="F47"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Для кожного номера показано номер, тип, доступність, ціну і зручності.
6. Повернення на сторінку входу /admin.</t>
        </is>
      </c>
      <c r="G47" s="15" t="inlineStr">
        <is>
          <t>passed</t>
        </is>
      </c>
      <c r="H47" s="16" t="inlineStr">
        <is>
          <t>25.10.2026</t>
        </is>
      </c>
      <c r="I47" s="17" t="inlineStr">
        <is>
          <t>Як очікувалось</t>
        </is>
      </c>
      <c r="J47" s="16" t="n"/>
      <c r="K47" s="16" t="n"/>
      <c r="L47" s="16" t="inlineStr">
        <is>
          <t>Дятлов М.</t>
        </is>
      </c>
      <c r="M47" s="16" t="inlineStr">
        <is>
          <t>localhost (див. аркуш Environment); Chrome</t>
        </is>
      </c>
    </row>
    <row r="48" ht="441.75" customHeight="1" s="11">
      <c r="A48" s="15" t="inlineStr">
        <is>
          <t>TC-044</t>
        </is>
      </c>
      <c r="B48" s="15" t="inlineStr">
        <is>
          <t>F-90</t>
        </is>
      </c>
      <c r="C48" s="15" t="inlineStr">
        <is>
          <t>Створення номера T3-101 додає його в адмінпанель і в «Our Rooms»</t>
        </is>
      </c>
      <c r="D48" s="15" t="inlineStr">
        <is>
          <t>Chrome (поточна версія), нова сесія (інкогніто); обліковий запис адміністратора admin / password; demo https://automationintesting.online/admin доступне</t>
        </is>
      </c>
      <c r="E48" s="16" t="inlineStr">
        <is>
          <t>1. Відкрити https://automationintesting.online/admin.
2. У поле Username ввести «admin».
3. У поле Password ввести «password».
4. Натиснути «Login».
5. У поле назви/номера номера ввести «T3-101».
6. У полі типу вибрати «Double».
7. У полі «Accessible» вибрати «false».
8. У поле ціни за ніч ввести «137».
9. Позначити зручність «WiFi».
10. Позначити зручність «TV».
11. Натиснути «Create».
12. Відкрити https://automationintesting.online у новій вкладці.
13. Натиснути «Rooms» у меню.
14. Закрити нову вкладку і повернутися на вкладку адмінпанелі.
15. Прибирання: натиснути кнопку видалення біля номера T3-101.
16. Натиснути «Logout» у шапці адмінпанелі.
17. Закрити вкладку.</t>
        </is>
      </c>
      <c r="F48"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Значення введено в поле; повідомлень про помилку немає.
9. Зручність позначено.
10. Зручність позначено.
11. Номер T3-101 з'являється у переліку адмінпанелі з типом Double, ціною 137, зручностями WiFi і TV.
12. Головна сторінка готелю завантажується.
13. У розділі «Our Rooms» є картка номера типу Double із ціною «£137 per night».
14. Активна вкладка адмінпанелі.
15. Номер T3-101 зникає з переліку адмінпанелі.
16. Повернення на сторінку входу /admin.
17. Вкладку закрито; кейс завершено.</t>
        </is>
      </c>
      <c r="G48" s="15" t="inlineStr">
        <is>
          <t>passed</t>
        </is>
      </c>
      <c r="H48" s="16" t="inlineStr">
        <is>
          <t>25.10.2026</t>
        </is>
      </c>
      <c r="I48" s="17" t="inlineStr">
        <is>
          <t>Як очікувалось</t>
        </is>
      </c>
      <c r="J48" s="16" t="n"/>
      <c r="K48" s="16" t="n"/>
      <c r="L48" s="16" t="inlineStr">
        <is>
          <t>Дятлов М.</t>
        </is>
      </c>
      <c r="M48" s="16" t="inlineStr">
        <is>
          <t>localhost (див. аркуш Environment); Chrome</t>
        </is>
      </c>
    </row>
    <row r="49" ht="363.75" customHeight="1" s="11">
      <c r="A49" s="15" t="inlineStr">
        <is>
          <t>TC-045</t>
        </is>
      </c>
      <c r="B49" s="15" t="inlineStr">
        <is>
          <t>F-90</t>
        </is>
      </c>
      <c r="C49" s="15" t="inlineStr">
        <is>
          <t>Видалення номера T3-102 прибирає його з адмінпанелі і з «Our Rooms»</t>
        </is>
      </c>
      <c r="D49" s="15" t="inlineStr">
        <is>
          <t>Chrome (поточна версія), нова сесія (інкогніто); обліковий запис адміністратора admin / password; demo https://automationintesting.online/admin доступне</t>
        </is>
      </c>
      <c r="E49" s="16" t="inlineStr">
        <is>
          <t>1. Відкрити https://automationintesting.online/admin.
2. У поле Username ввести «admin».
3. У поле Password ввести «password».
4. Натиснути «Login».
5. У поле назви/номера номера ввести «T3-102».
6. У полі типу вибрати «Single».
7. У поле ціни за ніч ввести «138».
8. Натиснути «Create».
9. Натиснути кнопку видалення біля номера T3-102.
10. Відкрити https://automationintesting.online у новій вкладці.
11. Натиснути «Rooms» у меню.
12. Закрити нову вкладку і повернутися на вкладку адмінпанелі.
13. Натиснути «Logout» у шапці адмінпанелі.
14. Закрити вкладку.</t>
        </is>
      </c>
      <c r="F49"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Номер T3-102 з'являється у переліку адмінпанелі.
9. Номер T3-102 зникає з переліку адмінпанелі.
10. Головна сторінка готелю завантажується.
11. У розділі «Our Rooms» немає картки з типом Single і ціною «£138 per night».
12. Активна вкладка адмінпанелі.
13. Повернення на сторінку входу /admin.
14. Вкладку закрито; кейс завершено.</t>
        </is>
      </c>
      <c r="G49" s="15" t="inlineStr">
        <is>
          <t>passed</t>
        </is>
      </c>
      <c r="H49" s="16" t="inlineStr">
        <is>
          <t>25.10.2026</t>
        </is>
      </c>
      <c r="I49" s="17" t="inlineStr">
        <is>
          <t>Як очікувалось</t>
        </is>
      </c>
      <c r="J49" s="16" t="n"/>
      <c r="K49" s="16" t="n"/>
      <c r="L49" s="16" t="inlineStr">
        <is>
          <t>Дятлов М.</t>
        </is>
      </c>
      <c r="M49" s="16" t="inlineStr">
        <is>
          <t>localhost (див. аркуш Environment); Chrome</t>
        </is>
      </c>
    </row>
    <row r="50" ht="390" customHeight="1" s="11">
      <c r="A50" s="15" t="inlineStr">
        <is>
          <t>TC-046</t>
        </is>
      </c>
      <c r="B50" s="15" t="inlineStr">
        <is>
          <t>F-100</t>
        </is>
      </c>
      <c r="C50" s="15" t="inlineStr">
        <is>
          <t>Адмін бачить у переліку повідомлень ім'я відправника, тему і позначку непрочитаного</t>
        </is>
      </c>
      <c r="D50" s="15" t="inlineStr">
        <is>
          <t>Chrome (поточна версія), нова сесія (інкогніто); обліковий запис адміністратора admin / password; demo https://automationintesting.online/admin доступне</t>
        </is>
      </c>
      <c r="E50" s="16" t="inlineStr">
        <is>
          <t>1. Відкрити https://automationintesting.online.
2. Натиснути «Contact» у меню.
3. У поле Name ввести T3-Reader.
4. У поле Email ввести t3.guest@example.com.
5. У поле Phone ввести +380001234567.
6. У поле Subject ввести T3-Unread check.
7. У поле Message ввести T3 test message about booking dates.
8. Натиснути «Submit».
9. Відкрити https://automationintesting.online/admin у новій вкладці.
10. У поле Username ввести «admin».
11. У поле Password ввести «password».
12. Натиснути «Login».
13. Відкрити розділ повідомлень адмінпанелі.
14. Знайти повідомлення від «T3-Reader».
15. Натиснути «Logout» у шапці адмінпанелі.</t>
        </is>
      </c>
      <c r="F50"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Показано подяку з іменем «T3-Reader» і темою «T3-Unread check».
9. Відкрито сторінку входу.
10. Значення введено в поле; повідомлень про помилку немає.
11. Символи пароля маскуються.
12. Відкрито розділ керування номерами зі списком номерів.
13. Показано перелік повідомлень.
14. У переліку є ім'я відправника «T3-Reader» і тема «T3-Unread check»; повідомлення позначено як непрочитане.
15. Повернення на сторінку входу /admin.</t>
        </is>
      </c>
      <c r="G50" s="15" t="inlineStr">
        <is>
          <t>passed</t>
        </is>
      </c>
      <c r="H50" s="16" t="inlineStr">
        <is>
          <t>25.10.2026</t>
        </is>
      </c>
      <c r="I50" s="17" t="inlineStr">
        <is>
          <t>Як очікувалось</t>
        </is>
      </c>
      <c r="J50" s="16" t="n"/>
      <c r="K50" s="16" t="n"/>
      <c r="L50" s="16" t="inlineStr">
        <is>
          <t>Дятлов М.</t>
        </is>
      </c>
      <c r="M50" s="16" t="inlineStr">
        <is>
          <t>localhost (див. аркуш Environment); Chrome</t>
        </is>
      </c>
    </row>
    <row r="51" ht="390" customHeight="1" s="11">
      <c r="A51" s="15" t="inlineStr">
        <is>
          <t>TC-047</t>
        </is>
      </c>
      <c r="B51" s="15" t="inlineStr">
        <is>
          <t>F-100</t>
        </is>
      </c>
      <c r="C51" s="15" t="inlineStr">
        <is>
          <t>Відкриття повідомлення позначає його прочитаним і прибирає з непрочитаних</t>
        </is>
      </c>
      <c r="D51" s="15" t="inlineStr">
        <is>
          <t>Chrome (поточна версія), нова сесія (інкогніто); обліковий запис адміністратора admin / password; demo https://automationintesting.online/admin доступне</t>
        </is>
      </c>
      <c r="E51" s="16" t="inlineStr">
        <is>
          <t>1. Відкрити https://automationintesting.online.
2. Натиснути «Contact» у меню.
3. У поле Name ввести T3-Opener.
4. У поле Email ввести t3.guest@example.com.
5. У поле Phone ввести +380001234567.
6. У поле Subject ввести T3-Open check.
7. У поле Message ввести T3 test message about booking dates.
8. Натиснути «Submit».
9. Відкрити https://automationintesting.online/admin у новій вкладці.
10. У поле Username ввести «admin».
11. У поле Password ввести «password».
12. Натиснути «Login».
13. Відкрити розділ повідомлень і натиснути на повідомлення від «T3-Opener».
14. Закрити вікно повідомлення і переглянути перелік.
15. Натиснути «Logout» у шапці адмінпанелі.</t>
        </is>
      </c>
      <c r="F51" s="16" t="inlineStr">
        <is>
          <t>1. Головна сторінка готелю завантажується.
2. Сторінку прокручено до розділу «Send Us a Message».
3. Значення введено в поле; повідомлень про помилку немає.
4. Значення введено в поле; повідомлень про помилку немає.
5. Значення введено в поле; повідомлень про помилку немає.
6. Значення введено в поле; повідомлень про помилку немає.
7. Значення введено в поле; повідомлень про помилку немає.
8. Показано подяку з іменем «T3-Opener».
9. Відкрито сторінку входу.
10. Значення введено в поле; повідомлень про помилку немає.
11. Символи пароля маскуються.
12. Відкрито розділ керування номерами зі списком номерів.
13. Повідомлення відкрито.
14. Повідомлення від «T3-Opener» більше не має позначки непрочитаного.
15. Повернення на сторінку входу /admin.</t>
        </is>
      </c>
      <c r="G51" s="15" t="inlineStr">
        <is>
          <t>passed</t>
        </is>
      </c>
      <c r="H51" s="16" t="inlineStr">
        <is>
          <t>25.10.2026</t>
        </is>
      </c>
      <c r="I51" s="17" t="inlineStr">
        <is>
          <t>Як очікувалось</t>
        </is>
      </c>
      <c r="J51" s="16" t="n"/>
      <c r="K51" s="16" t="n"/>
      <c r="L51" s="16" t="inlineStr">
        <is>
          <t>Дятлов М.</t>
        </is>
      </c>
      <c r="M51" s="16" t="inlineStr">
        <is>
          <t>localhost (див. аркуш Environment); Chrome</t>
        </is>
      </c>
    </row>
    <row r="52" ht="207.75" customHeight="1" s="11">
      <c r="A52" s="15" t="inlineStr">
        <is>
          <t>TC-048</t>
        </is>
      </c>
      <c r="B52" s="15" t="inlineStr">
        <is>
          <t>F-120</t>
        </is>
      </c>
      <c r="C52" s="15" t="inlineStr">
        <is>
          <t>Звіт заповнюваності: для минулого періоду — за фактичними даними, для майбутнього — з позначкою «Прогноз»</t>
        </is>
      </c>
      <c r="D52" s="15" t="inlineStr">
        <is>
          <t>Chrome (поточна версія), нова сесія (інкогніто); обліковий запис адміністратора admin / password; demo https://automationintesting.online/admin доступне</t>
        </is>
      </c>
      <c r="E52" s="16" t="inlineStr">
        <is>
          <t>1. Відкрити https://automationintesting.online/admin.
2. У поле Username ввести «admin».
3. У поле Password ввести «password».
4. Натиснути «Login».
5. Відкрити розділ звітів («Report») у меню адмінпанелі.
6. Вибрати період «сьогодні − 30 … сьогодні − 25» і переглянути звіт.
7. Вибрати період «сьогодні + 30 … сьогодні + 35» і переглянути звіт.
8. Натиснути «Logout» у шапці адмінпанелі.</t>
        </is>
      </c>
      <c r="F52"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Відкрито звіт заповнюваності номерів.
6. Показано заповнюваність (частку зайнятих ночей) за вибраний період; позначки «Прогноз» немає.
7. Показано заповнюваність за підтвердженими бронюваннями; звіт має позначку «Прогноз».
8. Повернення на сторінку входу /admin.</t>
        </is>
      </c>
      <c r="G52" s="15" t="inlineStr">
        <is>
          <t>failed</t>
        </is>
      </c>
      <c r="H52" s="16" t="inlineStr">
        <is>
          <t>25.10.2026</t>
        </is>
      </c>
      <c r="I52" s="17" t="inlineStr">
        <is>
          <t>Розділ «Report» показує календар бронювань за поточний місяць із перемиканням місяців; вибору періоду, значення заповнюваності і позначки «Прогноз» немає.</t>
        </is>
      </c>
      <c r="J52" s="16" t="inlineStr">
        <is>
          <t>BUG-002</t>
        </is>
      </c>
      <c r="K52" s="16" t="n"/>
      <c r="L52" s="16" t="inlineStr">
        <is>
          <t>Дятлов М.</t>
        </is>
      </c>
      <c r="M52" s="16" t="inlineStr">
        <is>
          <t>localhost (див. аркуш Environment); Chrome</t>
        </is>
      </c>
    </row>
    <row r="53" ht="156" customHeight="1" s="11">
      <c r="A53" s="15" t="inlineStr">
        <is>
          <t>TC-049</t>
        </is>
      </c>
      <c r="B53" s="15" t="inlineStr">
        <is>
          <t>F-130</t>
        </is>
      </c>
      <c r="C53" s="15" t="inlineStr">
        <is>
          <t>Перезавантаження сторінки не завершує сесію адміністратора</t>
        </is>
      </c>
      <c r="D53" s="15" t="inlineStr">
        <is>
          <t>Chrome (поточна версія), нова сесія (інкогніто); обліковий запис адміністратора admin / password; demo https://automationintesting.online/admin доступне</t>
        </is>
      </c>
      <c r="E53" s="16" t="inlineStr">
        <is>
          <t>1. Відкрити https://automationintesting.online/admin.
2. У поле Username ввести «admin».
3. У поле Password ввести «password».
4. Натиснути «Login».
5. Натиснути F5 (перезавантажити сторінку).
6. Натиснути «Logout» у шапці адмінпанелі.</t>
        </is>
      </c>
      <c r="F53"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Сторінка перезавантажена; адмінпанель відкрита без повторного входу.
6. Повернення на сторінку входу /admin.</t>
        </is>
      </c>
      <c r="G53" s="15" t="inlineStr">
        <is>
          <t>passed</t>
        </is>
      </c>
      <c r="H53" s="16" t="inlineStr">
        <is>
          <t>25.10.2026</t>
        </is>
      </c>
      <c r="I53" s="17" t="inlineStr">
        <is>
          <t>Як очікувалось</t>
        </is>
      </c>
      <c r="J53" s="16" t="n"/>
      <c r="K53" s="16" t="n"/>
      <c r="L53" s="16" t="inlineStr">
        <is>
          <t>Дятлов М.</t>
        </is>
      </c>
      <c r="M53" s="16" t="inlineStr">
        <is>
          <t>localhost (див. аркуш Environment); Chrome</t>
        </is>
      </c>
    </row>
    <row r="54" ht="181.5" customHeight="1" s="11">
      <c r="A54" s="15" t="inlineStr">
        <is>
          <t>TC-050</t>
        </is>
      </c>
      <c r="B54" s="15" t="inlineStr">
        <is>
          <t>F-130, S-20</t>
        </is>
      </c>
      <c r="C54" s="15" t="inlineStr">
        <is>
          <t>Сесія адміністратора завершується після 30 хвилин неактивності</t>
        </is>
      </c>
      <c r="D54" s="15" t="inlineStr">
        <is>
          <t>Chrome (поточна версія), нова сесія (інкогніто); обліковий запис адміністратора admin / password; demo https://automationintesting.online/admin доступне</t>
        </is>
      </c>
      <c r="E54" s="16" t="inlineStr">
        <is>
          <t>1. Відкрити https://automationintesting.online/admin.
2. У поле Username ввести «admin».
3. У поле Password ввести «password».
4. Натиснути «Login».
5. Не виконувати жодних дій у вкладці 31 хвилину.
6. Натиснути «Rooms» у шапці адмінпанелі.
7. Закрити вкладку.</t>
        </is>
      </c>
      <c r="F54" s="16" t="inlineStr">
        <is>
          <t>1. Відкрито сторінку входу до адмінпанелі.
2. Значення введено в поле; повідомлень про помилку немає.
3. Символи пароля маскуються.
4. Відкрито розділ керування номерами зі списком номерів.
5. Минуло 31 хвилину.
6. Відкрито сторінку входу; доступ до адмінпанелі потребує повторного входу.
7. Вкладку закрито; кейс завершено.</t>
        </is>
      </c>
      <c r="G54" s="15" t="inlineStr">
        <is>
          <t>failed</t>
        </is>
      </c>
      <c r="H54" s="15" t="inlineStr">
        <is>
          <t>25.10.2026</t>
        </is>
      </c>
      <c r="I54" s="21" t="inlineStr">
        <is>
          <t>Вхід admin/password о 15:09. Через 31 хв (о 15:41) натискання «Rooms» залишило адмінпанель відкритою (/admin/rooms, список номерів 101–103, кнопка Logout); сторінку входу не показано.</t>
        </is>
      </c>
      <c r="J54" s="16" t="inlineStr">
        <is>
          <t>BUG-001</t>
        </is>
      </c>
      <c r="K54" s="15" t="inlineStr">
        <is>
          <t>Час виконання 15:09–15:41. Виконано у звичайному вікні Chrome (не інкогніто). Скріншот — у звіті BUG-001.</t>
        </is>
      </c>
      <c r="L54" s="15" t="inlineStr">
        <is>
          <t>Дятлов М.</t>
        </is>
      </c>
      <c r="M54" s="15" t="inlineStr">
        <is>
          <t>localhost (див. аркуш Environment); Chrome</t>
        </is>
      </c>
    </row>
    <row r="55" ht="207.75" customHeight="1" s="11">
      <c r="A55" s="15" t="inlineStr">
        <is>
          <t>TC-051</t>
        </is>
      </c>
      <c r="B55" s="15" t="inlineStr">
        <is>
          <t>GUI-20</t>
        </is>
      </c>
      <c r="C55" s="15" t="inlineStr">
        <is>
          <t>Поля Check In і Check Out показують дату у форматі мм/дд/рррр і відкривають календар (формат РРРР-ММ-ДД у URL — див. TC-007)</t>
        </is>
      </c>
      <c r="D55" s="15" t="inlineStr">
        <is>
          <t>Chrome (поточна версія), нова сесія (інкогніто); без входу; demo https://automationintesting.online доступне</t>
        </is>
      </c>
      <c r="E55" s="16" t="inlineStr">
        <is>
          <t>1. Відкрити https://automationintesting.online.
2. Натиснути у поле Check In.
3. У календарі вибрати 25-те число наступного місяця.
4. Переглянути значення у полі Check In.
5. Натиснути у поле Check Out.
6. У календарі вибрати 27-ме число наступного місяця.
7. Переглянути значення у полі Check Out.
8. Закрити вкладку.</t>
        </is>
      </c>
      <c r="F55" s="16" t="inlineStr">
        <is>
          <t>1. Головна сторінка готелю завантажується.
2. Відкривається календар.
3. Календар закрито.
4. Значення має вигляд мм/25/рррр (наступний місяць, 25 число); формат мм/дд/рррр.
5. Відкривається календар.
6. Календар закрито.
7. Значення має вигляд мм/27/рррр (наступний місяць, 27 число); формат мм/дд/рррр.
8. Вкладку закрито; кейс завершено.</t>
        </is>
      </c>
      <c r="G55" s="15" t="inlineStr">
        <is>
          <t>passed</t>
        </is>
      </c>
      <c r="H55" s="16" t="inlineStr">
        <is>
          <t>25.10.2026</t>
        </is>
      </c>
      <c r="I55" s="17" t="inlineStr">
        <is>
          <t>Як очікувалось</t>
        </is>
      </c>
      <c r="J55" s="16" t="n"/>
      <c r="K55" s="16" t="n"/>
      <c r="L55" s="16" t="inlineStr">
        <is>
          <t>Дятлов М.</t>
        </is>
      </c>
      <c r="M55" s="16" t="inlineStr">
        <is>
          <t>localhost (див. аркуш Environment); Chrome</t>
        </is>
      </c>
    </row>
    <row r="56" ht="129.75" customHeight="1" s="11">
      <c r="A56" s="15" t="inlineStr">
        <is>
          <t>TC-052</t>
        </is>
      </c>
      <c r="B56" s="15" t="inlineStr">
        <is>
          <t>GUI-90</t>
        </is>
      </c>
      <c r="C56" s="15" t="inlineStr">
        <is>
          <t>Екран 1366 px: немає перекриття елементів, обрізаного тексту і горизонтального прокручування</t>
        </is>
      </c>
      <c r="D56" s="15" t="inlineStr">
        <is>
          <t>Chrome або Firefox (поточна версія) — кейс виконується двічі — у Chrome і в Firefox; у журналі виконання два окремі рядки, по одному на браузер; DevTools → режим адаптивного екрана</t>
        </is>
      </c>
      <c r="E56" s="16" t="inlineStr">
        <is>
          <t>1. Відкрити DevTools → режим адаптивного екрана і встановити розмір 1366×768.
2. Відкрити https://automationintesting.online.
3. Прокрутити сторінку зверху донизу.
4. Спробувати прокрутити сторінку вліво-вправо.
5. Закрити вкладку.</t>
        </is>
      </c>
      <c r="F56" s="16" t="inlineStr">
        <is>
          <t>1. Розмір вікна встановлено.
2. Головна сторінка готелю завантажується.
3. Елементи не перекриваються; текст не обрізаний.
4. Горизонтального прокручування немає.
5. Вкладку закрито; кейс завершено.</t>
        </is>
      </c>
      <c r="G56" s="15" t="inlineStr">
        <is>
          <t>passed</t>
        </is>
      </c>
      <c r="H56" s="16" t="inlineStr">
        <is>
          <t>25.10.2026</t>
        </is>
      </c>
      <c r="I56" s="17" t="inlineStr">
        <is>
          <t>Як очікувалось</t>
        </is>
      </c>
      <c r="J56" s="16" t="n"/>
      <c r="K56" s="16" t="inlineStr">
        <is>
          <t>Chrome</t>
        </is>
      </c>
      <c r="L56" s="16" t="inlineStr">
        <is>
          <t>Дятлов М.</t>
        </is>
      </c>
      <c r="M56" s="16" t="inlineStr">
        <is>
          <t>localhost (див. аркуш Environment); Chrome</t>
        </is>
      </c>
    </row>
    <row r="57" ht="129.75" customHeight="1" s="11">
      <c r="A57" s="15" t="inlineStr">
        <is>
          <t>TC-052</t>
        </is>
      </c>
      <c r="B57" s="15" t="inlineStr">
        <is>
          <t>GUI-90</t>
        </is>
      </c>
      <c r="C57" s="15" t="inlineStr">
        <is>
          <t>Екран 1366 px: немає перекриття елементів, обрізаного тексту і горизонтального прокручування</t>
        </is>
      </c>
      <c r="D57" s="15" t="inlineStr">
        <is>
          <t>Chrome або Firefox (поточна версія) — кейс виконується двічі — у Chrome і в Firefox; у журналі виконання два окремі рядки, по одному на браузер; DevTools → режим адаптивного екрана</t>
        </is>
      </c>
      <c r="E57" s="16" t="inlineStr">
        <is>
          <t>1. Відкрити DevTools → режим адаптивного екрана і встановити розмір 1366×768.
2. Відкрити https://automationintesting.online.
3. Прокрутити сторінку зверху донизу.
4. Спробувати прокрутити сторінку вліво-вправо.
5. Закрити вкладку.</t>
        </is>
      </c>
      <c r="F57" s="16" t="inlineStr">
        <is>
          <t>1. Розмір вікна встановлено.
2. Головна сторінка готелю завантажується.
3. Елементи не перекриваються; текст не обрізаний.
4. Горизонтального прокручування немає.
5. Вкладку закрито; кейс завершено.</t>
        </is>
      </c>
      <c r="G57" s="15" t="inlineStr">
        <is>
          <t>passed</t>
        </is>
      </c>
      <c r="H57" s="16" t="inlineStr">
        <is>
          <t>28.10.2026</t>
        </is>
      </c>
      <c r="I57" s="16" t="inlineStr">
        <is>
          <t>Як очікувалось</t>
        </is>
      </c>
      <c r="J57" s="16" t="n"/>
      <c r="K57" s="16" t="inlineStr">
        <is>
          <t>Firefox</t>
        </is>
      </c>
      <c r="L57" s="16" t="inlineStr">
        <is>
          <t>Дятлов М.</t>
        </is>
      </c>
      <c r="M57" s="16" t="inlineStr">
        <is>
          <t>localhost (див. аркуш Environment); Firefox</t>
        </is>
      </c>
    </row>
    <row r="58" ht="129.75" customHeight="1" s="11">
      <c r="A58" s="15" t="inlineStr">
        <is>
          <t>TC-053</t>
        </is>
      </c>
      <c r="B58" s="15" t="inlineStr">
        <is>
          <t>GUI-90</t>
        </is>
      </c>
      <c r="C58" s="15" t="inlineStr">
        <is>
          <t>Екран 375 px: немає перекриття елементів, обрізаного тексту і горизонтального прокручування</t>
        </is>
      </c>
      <c r="D58" s="15" t="inlineStr">
        <is>
          <t>Chrome або Firefox (поточна версія) — кейс виконується двічі — у Chrome і в Firefox; у журналі виконання два окремі рядки, по одному на браузер; DevTools → режим адаптивного екрана</t>
        </is>
      </c>
      <c r="E58" s="16" t="inlineStr">
        <is>
          <t>1. Відкрити DevTools → режим адаптивного екрана і встановити розмір 375×667.
2. Відкрити https://automationintesting.online.
3. Прокрутити сторінку зверху донизу.
4. Спробувати прокрутити сторінку вліво-вправо.
5. Закрити вкладку.</t>
        </is>
      </c>
      <c r="F58" s="16" t="inlineStr">
        <is>
          <t>1. Розмір вікна встановлено.
2. Головна сторінка готелю завантажується.
3. Елементи не перекриваються; текст не обрізаний.
4. Горизонтального прокручування немає.
5. Вкладку закрито; кейс завершено.</t>
        </is>
      </c>
      <c r="G58" s="15" t="inlineStr">
        <is>
          <t>passed</t>
        </is>
      </c>
      <c r="H58" s="16" t="inlineStr">
        <is>
          <t>25.10.2026</t>
        </is>
      </c>
      <c r="I58" s="17" t="inlineStr">
        <is>
          <t>Як очікувалось</t>
        </is>
      </c>
      <c r="J58" s="16" t="n"/>
      <c r="K58" s="16" t="inlineStr">
        <is>
          <t>Chrome</t>
        </is>
      </c>
      <c r="L58" s="16" t="inlineStr">
        <is>
          <t>Дятлов М.</t>
        </is>
      </c>
      <c r="M58" s="16" t="inlineStr">
        <is>
          <t>localhost (див. аркуш Environment); Chrome</t>
        </is>
      </c>
    </row>
    <row r="59" ht="129.75" customHeight="1" s="11">
      <c r="A59" s="15" t="inlineStr">
        <is>
          <t>TC-053</t>
        </is>
      </c>
      <c r="B59" s="15" t="inlineStr">
        <is>
          <t>GUI-90</t>
        </is>
      </c>
      <c r="C59" s="15" t="inlineStr">
        <is>
          <t>Екран 375 px: немає перекриття елементів, обрізаного тексту і горизонтального прокручування</t>
        </is>
      </c>
      <c r="D59" s="15" t="inlineStr">
        <is>
          <t>Chrome або Firefox (поточна версія) — кейс виконується двічі — у Chrome і в Firefox; у журналі виконання два окремі рядки, по одному на браузер; DevTools → режим адаптивного екрана</t>
        </is>
      </c>
      <c r="E59" s="16" t="inlineStr">
        <is>
          <t>1. Відкрити DevTools → режим адаптивного екрана і встановити розмір 375×667.
2. Відкрити https://automationintesting.online.
3. Прокрутити сторінку зверху донизу.
4. Спробувати прокрутити сторінку вліво-вправо.
5. Закрити вкладку.</t>
        </is>
      </c>
      <c r="F59" s="16" t="inlineStr">
        <is>
          <t>1. Розмір вікна встановлено.
2. Головна сторінка готелю завантажується.
3. Елементи не перекриваються; текст не обрізаний.
4. Горизонтального прокручування немає.
5. Вкладку закрито; кейс завершено.</t>
        </is>
      </c>
      <c r="G59" s="15" t="inlineStr">
        <is>
          <t>passed</t>
        </is>
      </c>
      <c r="H59" s="16" t="inlineStr">
        <is>
          <t>28.10.2026</t>
        </is>
      </c>
      <c r="I59" s="16" t="inlineStr">
        <is>
          <t>Як очікувалось</t>
        </is>
      </c>
      <c r="J59" s="16" t="n"/>
      <c r="K59" s="16" t="inlineStr">
        <is>
          <t>Firefox</t>
        </is>
      </c>
      <c r="L59" s="16" t="inlineStr">
        <is>
          <t>Дятлов М.</t>
        </is>
      </c>
      <c r="M59" s="16" t="inlineStr">
        <is>
          <t>localhost (див. аркуш Environment); Firefox</t>
        </is>
      </c>
    </row>
    <row r="60" ht="312" customHeight="1" s="11">
      <c r="A60" s="15" t="inlineStr">
        <is>
          <t>TC-054</t>
        </is>
      </c>
      <c r="B60" s="15" t="inlineStr">
        <is>
          <t>U-20</t>
        </is>
      </c>
      <c r="C60" s="15" t="inlineStr">
        <is>
          <t>Форми бронювання і контактна оформлені однаково: назви полів у підказках, помилки над кнопкою</t>
        </is>
      </c>
      <c r="D60" s="15" t="inlineStr">
        <is>
          <t>Chrome (поточна версія), нова сесія (інкогніто); без входу; demo https://automationintesting.online доступне; DevTools (F12) → Network відкрито, фільтр «checkin»</t>
        </is>
      </c>
      <c r="E60" s="16" t="inlineStr">
        <is>
          <t>1. Відкрити https://automationintesting.online.
2. У поле Check In віджета ввести дату «сьогодні + 130 днів» у форматі мм/дд/рррр.
3. У поле Check Out віджета ввести дату «сьогодні + 132 дні» у форматі мм/дд/рррр.
4. Натиснути «Check Availability».
5. Натиснути «Book now» на першій картці номера в переліку.
6. Натиснути «Reserve Now» на сторінці номера.
7. Переглянути поля форми бронювання.
8. Натиснути «Reserve Now» з порожніми полями.
9. Відкрити https://automationintesting.online у цій самій вкладці й натиснути «Contact».
10. Переглянути поля контактної форми.
11. Натиснути «Submit» з порожніми полями.
12. Закрити вкладку.</t>
        </is>
      </c>
      <c r="F60" s="16" t="inlineStr">
        <is>
          <t>1. Головна сторінка готелю завантажується.
2. У полі показано введену дату.
3. У полі показано введену дату.
4. У Network з'являється новий запит, URL якого містить checkin і checkout, що дорівнюють введеним датам у форматі РРРР-ММ-ДД.
5. Відкрито сторінку номера /reservation/{id}; у календарі виділено вибраний інтервал.
6. З'являється форма бронювання.
7. Назви полів подано підказками (placeholder).
8. Перелік помилок показано над кнопкою «Reserve Now».
9. Сторінку прокручено до форми «Send Us a Message».
10. Назви полів подано підказками (placeholder).
11. Перелік помилок показано над кнопкою «Submit».
12. Вкладку закрито; кейс завершено.</t>
        </is>
      </c>
      <c r="G60" s="15" t="inlineStr">
        <is>
          <t>passed</t>
        </is>
      </c>
      <c r="H60" s="16" t="inlineStr">
        <is>
          <t>25.10.2026</t>
        </is>
      </c>
      <c r="I60" s="17" t="inlineStr">
        <is>
          <t>Як очікувалось</t>
        </is>
      </c>
      <c r="J60" s="16" t="n"/>
      <c r="K60" s="16" t="n"/>
      <c r="L60" s="16" t="inlineStr">
        <is>
          <t>Дятлов М.</t>
        </is>
      </c>
      <c r="M60" s="16" t="inlineStr">
        <is>
          <t>localhost (див. аркуш Environment); Chrome</t>
        </is>
      </c>
    </row>
    <row r="61" ht="181.5" customHeight="1" s="11">
      <c r="A61" s="15" t="inlineStr">
        <is>
          <t>TC-055</t>
        </is>
      </c>
      <c r="B61" s="15" t="inlineStr">
        <is>
          <t>P-10</t>
        </is>
      </c>
      <c r="C61" s="15" t="inlineStr">
        <is>
          <t>Головна сторінка зі списком номерів завантажується не довше ніж за 3 с на каналі 10 Мбіт/с</t>
        </is>
      </c>
      <c r="D61" s="15" t="inlineStr">
        <is>
          <t>Chrome (поточна версія), нова сесія (інкогніто); без входу; demo https://automationintesting.online доступне</t>
        </is>
      </c>
      <c r="E61" s="16" t="inlineStr">
        <is>
          <t>1. Відкрити DevTools (F12) і перейти на вкладку Network.
2. Увімкнути прапорець Disable cache.
3. Створити профіль Throttling із download 10 Мбіт/с і вибрати його.
4. Відкрити https://automationintesting.online.
5. Дочекатися появи розділу «Our Rooms» із картками номерів.
6. Переглянути у нижньому рядку Network значення Finish (час завершення останнього запиту, у тому числі запиту зі списком номерів).
7. Закрити вкладку.</t>
        </is>
      </c>
      <c r="F61" s="16" t="inlineStr">
        <is>
          <t>1. Вкладку Network відкрито.
2. Прапорець увімкнено.
3. Профіль вибрано.
4. Головна сторінка готелю завантажується.
5. Картки номерів відображаються.
6. Finish не перевищує 3 с.
7. Вкладку закрито; кейс завершено.</t>
        </is>
      </c>
      <c r="G61" s="15" t="inlineStr">
        <is>
          <t>passed</t>
        </is>
      </c>
      <c r="H61" s="16" t="inlineStr">
        <is>
          <t>25.10.2026</t>
        </is>
      </c>
      <c r="I61" s="17" t="inlineStr">
        <is>
          <t>Як очікувалось</t>
        </is>
      </c>
      <c r="J61" s="16" t="n"/>
      <c r="K61" s="16" t="n"/>
      <c r="L61" s="16" t="inlineStr">
        <is>
          <t>Дятлов М.</t>
        </is>
      </c>
      <c r="M61" s="16" t="inlineStr">
        <is>
          <t>localhost (див. аркуш Environment); Chrome</t>
        </is>
      </c>
    </row>
    <row r="62" ht="13.8" customHeight="1" s="11">
      <c r="C62" s="23" t="inlineStr">
        <is>
          <t>passed</t>
        </is>
      </c>
      <c r="D62" s="23">
        <f>COUNTIF($G$5:$G$59,C62)</f>
        <v/>
      </c>
    </row>
    <row r="63" ht="13.8" customHeight="1" s="11">
      <c r="C63" s="23" t="inlineStr">
        <is>
          <t>failed</t>
        </is>
      </c>
      <c r="D63" s="23">
        <f>COUNTIF($G$5:$G$59,C63)</f>
        <v/>
      </c>
    </row>
    <row r="64" ht="13.8" customHeight="1" s="11">
      <c r="C64" s="23" t="inlineStr">
        <is>
          <t>blocked</t>
        </is>
      </c>
      <c r="D64" s="23">
        <f>COUNTIF($G$5:$G$59,C64)</f>
        <v/>
      </c>
    </row>
    <row r="65" ht="13.8" customHeight="1" s="11">
      <c r="C65" s="23" t="inlineStr">
        <is>
          <t>skipped</t>
        </is>
      </c>
      <c r="D65" s="23">
        <f>COUNTIF($G$5:$G$59,C65)</f>
        <v/>
      </c>
    </row>
    <row r="66" ht="13.8" customHeight="1" s="11">
      <c r="C66" s="23" t="inlineStr">
        <is>
          <t>Ще не виконано</t>
        </is>
      </c>
      <c r="D66" s="23">
        <f>COUNTA($A$5:$A$59)-SUM(D62:D65)</f>
        <v/>
      </c>
    </row>
    <row r="67" ht="13.8" customHeight="1" s="11">
      <c r="C67" s="24" t="inlineStr">
        <is>
          <t>Усього кейсів</t>
        </is>
      </c>
      <c r="D67" s="24">
        <f>COUNTA($A$5:$A$59)</f>
        <v/>
      </c>
    </row>
  </sheetData>
  <dataValidations count="1">
    <dataValidation sqref="G5:G61" showDropDown="0" showInputMessage="0" showErrorMessage="0" allowBlank="1" type="list">
      <formula1>"passed,failed,blocked,skipped"</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A1" activeCellId="0" sqref="A1"/>
    </sheetView>
  </sheetViews>
  <sheetFormatPr baseColWidth="8" defaultColWidth="8.6796875" defaultRowHeight="15" customHeight="0" zeroHeight="0" outlineLevelRow="0"/>
  <cols>
    <col width="26" customWidth="1" style="10" min="1" max="1"/>
    <col width="80" customWidth="1" style="10" min="2" max="2"/>
  </cols>
  <sheetData>
    <row r="1" ht="12.8" customHeight="1" s="11">
      <c r="A1" s="18" t="inlineStr">
        <is>
          <t>Параметр</t>
        </is>
      </c>
      <c r="B1" s="18" t="inlineStr">
        <is>
          <t>Значення</t>
        </is>
      </c>
    </row>
    <row r="2" ht="12.8" customHeight="1" s="11">
      <c r="A2" s="15" t="inlineStr">
        <is>
          <t>Продукт</t>
        </is>
      </c>
      <c r="B2" s="15" t="inlineStr">
        <is>
          <t>«restful-booker-platform», локальне розгортання за вказівкою викладача</t>
        </is>
      </c>
    </row>
    <row r="3" ht="12.8" customHeight="1" s="11">
      <c r="A3" s="15" t="inlineStr">
        <is>
          <t>Адмінпанель</t>
        </is>
      </c>
      <c r="B3" s="15" t="inlineStr">
        <is>
          <t>http://localhost:3003/admin (admin / password)</t>
        </is>
      </c>
    </row>
    <row r="4" ht="12.8" customHeight="1" s="11">
      <c r="A4" s="15" t="inlineStr">
        <is>
          <t>Браузер, версія</t>
        </is>
      </c>
      <c r="B4" s="15" t="inlineStr">
        <is>
          <t>Google Chrome, поточна стабільна версія станом на 25–28.10.2026</t>
        </is>
      </c>
    </row>
    <row r="5" ht="12.8" customHeight="1" s="11">
      <c r="A5" s="15" t="inlineStr">
        <is>
          <t>Додатковий браузер</t>
        </is>
      </c>
      <c r="B5" s="15" t="inlineStr">
        <is>
          <t>Mozilla Firefox, поточна стабільна версія станом на 28.10.2026 (TC-052, TC-053)</t>
        </is>
      </c>
    </row>
    <row r="6" ht="12.8" customHeight="1" s="11">
      <c r="A6" s="15" t="inlineStr">
        <is>
          <t>ОС</t>
        </is>
      </c>
      <c r="B6" s="15" t="inlineStr">
        <is>
          <t>Windows 11</t>
        </is>
      </c>
    </row>
    <row r="7" ht="12.8" customHeight="1" s="11">
      <c r="A7" s="15" t="inlineStr">
        <is>
          <t>Роздільність екрана</t>
        </is>
      </c>
      <c r="B7" s="15" t="inlineStr">
        <is>
          <t>1366×768; мобільний режим 375 px</t>
        </is>
      </c>
    </row>
    <row r="8" ht="12.8" customHeight="1" s="11">
      <c r="A8" s="15" t="inlineStr">
        <is>
          <t>Дата та час Run 1</t>
        </is>
      </c>
      <c r="B8" s="15" t="inlineStr">
        <is>
          <t>25.10.2026, 14:30–16:20 (початок і кінець Run 1); TC-019 і TC-020 виконано повторно, TC-052 і TC-053 у Firefox — 28.10.2026</t>
        </is>
      </c>
    </row>
    <row r="9" ht="12.8" customHeight="1" s="11">
      <c r="A9" s="15" t="inlineStr">
        <is>
          <t>Версія специфікації</t>
        </is>
      </c>
      <c r="B9" s="15" t="inlineStr">
        <is>
          <t>SRS 1.1 (docs/sprint2/SRS-1.1.md)</t>
        </is>
      </c>
    </row>
    <row r="10" ht="12.8" customHeight="1" s="11">
      <c r="A10" s="15" t="inlineStr">
        <is>
          <t>Версія тест-кейсів</t>
        </is>
      </c>
      <c r="B10" s="15" t="inlineStr">
        <is>
          <t>docs/sprint3/test-cases.xlsx, коміт 6cc8f78</t>
        </is>
      </c>
    </row>
    <row r="11" ht="12.8" customHeight="1" s="11">
      <c r="A11" s="15" t="inlineStr">
        <is>
          <t>Особливості середовища</t>
        </is>
      </c>
      <c r="B11" s="15" t="inlineStr">
        <is>
          <t>Виконано на localhost замість demo з передумов кейсів; тестові бронювання T3-Guest створювались у локальній базі.</t>
        </is>
      </c>
    </row>
    <row r="12">
      <c r="A12" s="15" t="inlineStr">
        <is>
          <t>Як запущено</t>
        </is>
      </c>
      <c r="B12" s="15" t="inlineStr">
        <is>
          <t>.\build_locally.cmd у корені каталогу restful-booker-platform (код із ZIP-архіву гілки trunk)</t>
        </is>
      </c>
    </row>
    <row r="13">
      <c r="A13" s="15" t="inlineStr">
        <is>
          <t>Адреса застосунку</t>
        </is>
      </c>
      <c r="B13" s="15" t="inlineStr">
        <is>
          <t>http://localhost:3003</t>
        </is>
      </c>
    </row>
    <row r="14">
      <c r="A14" s="15" t="inlineStr">
        <is>
          <t>Версія restful-booker-platform</t>
        </is>
      </c>
      <c r="B14" s="15" t="inlineStr">
        <is>
          <t>ZIP-архів гілки trunk (без git-коміту), завантажено перед Run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2026-10-25T14:45:39Z</dcterms:created>
  <dcterms:modified xmlns:dcterms="http://purl.org/dc/terms/" xmlns:xsi="http://www.w3.org/2001/XMLSchema-instance" xsi:type="dcterms:W3CDTF">2026-10-28T22:37:09Z</dcterms:modified>
  <cp:revision>4</cp:revision>
</cp:coreProperties>
</file>