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overage" sheetId="2" state="visible" r:id="rId4"/>
    <sheet name="Test data" sheetId="3" state="visible" r:id="rId5"/>
    <sheet name="Review" sheetId="4" state="visible" r:id="rId6"/>
  </sheets>
  <definedNames>
    <definedName function="false" hidden="true" localSheetId="0" name="_xlnm._FilterDatabase" vbProcedure="false">'Test cases'!$A$4:$M$59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<sst xmlns="http://schemas.openxmlformats.org/spreadsheetml/2006/main" count="1334" uniqueCount="573">
  <si>
    <t xml:space="preserve">Тест-кейси — Спринт 3, продукт «СтейНау» (SRS 1.1). Автор: Андрущенко К. (Тест-аналітик)</t>
  </si>
  <si>
    <t xml:space="preserve">Еталон — SRS 1.1. Дати задано відносно дня виконання («сьогодні + N днів», формат мм/дд/рррр). Назви елементів demo (поля, кнопки, розділи адмінпанелі) виконавець звіряє з екраном перед прогоном; розбіжність demo з очікуваним результатом, взятим із SRS, — привід для звіту про дефект.</t>
  </si>
  <si>
    <t xml:space="preserve">ID</t>
  </si>
  <si>
    <t xml:space="preserve">Вимога</t>
  </si>
  <si>
    <t xml:space="preserve">Заголовок</t>
  </si>
  <si>
    <t xml:space="preserve">Передумови</t>
  </si>
  <si>
    <t xml:space="preserve">Кроки</t>
  </si>
  <si>
    <t xml:space="preserve">Очікуваний результат</t>
  </si>
  <si>
    <t xml:space="preserve">Постумови</t>
  </si>
  <si>
    <t xml:space="preserve">Пріоритет</t>
  </si>
  <si>
    <t xml:space="preserve">Тип</t>
  </si>
  <si>
    <t xml:space="preserve">Автор</t>
  </si>
  <si>
    <t xml:space="preserve">Рецензент</t>
  </si>
  <si>
    <t xml:space="preserve">Дата рецензування</t>
  </si>
  <si>
    <t xml:space="preserve">Статус кейсу</t>
  </si>
  <si>
    <t xml:space="preserve">TC-001</t>
  </si>
  <si>
    <t xml:space="preserve">F-10</t>
  </si>
  <si>
    <t xml:space="preserve">Головна сторінка гостя показує назву готелю, опис, кнопку «Book Now» і шість пунктів меню</t>
  </si>
  <si>
    <t xml:space="preserve">Chrome (поточна версія), нова сесія (інкогніто); без входу; demo https://automationintesting.online доступне</t>
  </si>
  <si>
    <t xml:space="preserve">1. Відкрити https://automationintesting.online.
2. Переглянути верхню частину головної сторінки.
3. Переглянути меню у шапці зліва направо.
4. Закрити вкладку.</t>
  </si>
  <si>
    <t xml:space="preserve">1. Головна сторінка готелю завантажується.
2. Видно назву готелю, текст опису і кнопку «Book Now».
3. Меню містить рівно «Rooms», «Booking», «Amenities», «Location», «Contact», «Admin».
4. Вкладку закрито; кейс завершено.</t>
  </si>
  <si>
    <t xml:space="preserve">—</t>
  </si>
  <si>
    <t xml:space="preserve">High</t>
  </si>
  <si>
    <t xml:space="preserve">позитивний</t>
  </si>
  <si>
    <t xml:space="preserve">Андрущенко К.</t>
  </si>
  <si>
    <t xml:space="preserve">Мукоїд Е.</t>
  </si>
  <si>
    <t xml:space="preserve">24.10.2026</t>
  </si>
  <si>
    <t xml:space="preserve">reviewed</t>
  </si>
  <si>
    <t xml:space="preserve">TC-002</t>
  </si>
  <si>
    <t xml:space="preserve">Пункти меню «Rooms», «Booking», «Contact» прокручують сторінку до відповідних розділів</t>
  </si>
  <si>
    <t xml:space="preserve">1. Відкрити https://automationintesting.online.
2. Натиснути «Rooms» у меню.
3. Натиснути «Booking» у меню.
4. Натиснути «Contact» у меню.
5. Закрити вкладку.</t>
  </si>
  <si>
    <t xml:space="preserve">1. Головна сторінка готелю завантажується.
2. Сторінку прокручено до розділу «Our Rooms».
3. Сторінку прокручено до віджета «Check Availability &amp; Book Your Stay».
4. Сторінку прокручено до розділу «Send Us a Message».
5. Вкладку закрито; кейс завершено.</t>
  </si>
  <si>
    <t xml:space="preserve">TC-003</t>
  </si>
  <si>
    <t xml:space="preserve">Пункт «Admin» відкриває сторінку входу до адмінпанелі /admin</t>
  </si>
  <si>
    <t xml:space="preserve">1. Відкрити https://automationintesting.online.
2. Натиснути «Admin» у меню.
3. Переглянути адресу і заголовок сторінки.
4. Закрити вкладку.</t>
  </si>
  <si>
    <t xml:space="preserve">1. Головна сторінка готелю завантажується.
2. Відкрито сторінку входу.
3. Адреса закінчується на /admin; заголовок «Login»; видно поля Username і Password.
4. Вкладку закрито; кейс завершено.</t>
  </si>
  <si>
    <t xml:space="preserve">TC-004</t>
  </si>
  <si>
    <t xml:space="preserve">GUI-10</t>
  </si>
  <si>
    <t xml:space="preserve">Шапка на головній сторінці і на сторінці номера містить назву готелю ліворуч, посилання праворуч і лишається видимою при прокручуванні</t>
  </si>
  <si>
    <t xml:space="preserve">Chrome (поточна версія), нова сесія (інкогніто); без входу; demo https://automationintesting.online доступне; DevTools (F12) → Network відкрито, фільтр «checkin»</t>
  </si>
  <si>
    <t xml:space="preserve">1. Відкрити https://automationintesting.online.
2. Переглянути шапку сторінки.
3. Прокрутити сторінку до її нижньої частини колесом миші.
4. Переглянути верхню частину вікна браузера.
5. У поле Check In віджета ввести дату «сьогодні + 140 днів» у форматі мм/дд/рррр.
6. У поле Check Out віджета ввести дату «сьогодні + 142 дні» у форматі мм/дд/рррр.
7. Натиснути «Check Availability».
8. Натиснути «Book now» на першій картці номера в переліку.
9. Переглянути шапку на сторінці номера.
10. Прокрутити сторінку номера до її нижньої частини.
11. Переглянути верхню частину вікна браузера.
12. Закрити вкладку.</t>
  </si>
  <si>
    <t xml:space="preserve">1. Головна сторінка готелю завантажується.
2. Назва готелю розташована ліворуч; праворуч — «Rooms», «Booking», «Amenities», «Location», «Contact», «Admin».
3. Сторінку прокручено до підвалу.
4. Шапка з назвою готелю і посиланнями залишається видимою у верхній частині вікна.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Відкрито сторінку номера /reservation/{id}; у календарі виділено вибраний інтервал.
9. Назва готелю розташована ліворуч; праворуч — «Rooms», «Booking», «Amenities», «Location», «Contact», «Admin».
10. Сторінку прокручено до підвалу.
11. Шапка з назвою готелю і посиланнями залишається видимою у верхній частині вікна.
12. Вкладку закрито; кейс завершено.</t>
  </si>
  <si>
    <t xml:space="preserve">draft</t>
  </si>
  <si>
    <t xml:space="preserve">TC-005</t>
  </si>
  <si>
    <t xml:space="preserve">F-20</t>
  </si>
  <si>
    <t xml:space="preserve">Картка кожного номера в «Our Rooms» містить тип, опис, зручності, ціну «£N per night» і кнопку «Book now»</t>
  </si>
  <si>
    <t xml:space="preserve">1. Відкрити https://automationintesting.online.
2. Натиснути «Rooms» у меню.
3. Переглянути тип номера на кожній картці.
4. Переглянути опис і зручності на кожній картці.
5. Переглянути ціну на кожній картці.
6. Переглянути кнопку на кожній картці.
7. Закрити вкладку.</t>
  </si>
  <si>
    <t xml:space="preserve">1. Головна сторінка готелю завантажується.
2. Показано розділ «Our Rooms» з картками номерів.
3. Тип — одне зі значень Single, Double, Suite.
4. Є опис; зручності — з-поміж TV, WiFi, Safe, Radio.
5. Ціна у форматі «£N per night», N — ціле число.
6. На кожній картці є кнопка «Book now».
7. Вкладку закрито; кейс завершено.</t>
  </si>
  <si>
    <t xml:space="preserve">TC-006</t>
  </si>
  <si>
    <t xml:space="preserve">GUI-30</t>
  </si>
  <si>
    <t xml:space="preserve">Кожна картка номера містить зображення, назву типу, короткий опис, зручності з піктограмами, ціну і кнопку</t>
  </si>
  <si>
    <t xml:space="preserve">1. Відкрити https://automationintesting.online.
2. Натиснути «Rooms» у меню.
3. Переглянути зображення на кожній картці.
4. Переглянути назву типу і короткий опис на кожній картці.
5. Переглянути перелік зручностей на кожній картці.
6. Переглянути ціну і кнопку на кожній картці.
7. Закрити вкладку.</t>
  </si>
  <si>
    <t xml:space="preserve">1. Головна сторінка готелю завантажується.
2. Показано розділ «Our Rooms».
3. На кожній картці зображення відображається повністю, не як «зламане».
4. На кожній картці є назва типу і короткий опис.
5. На кожній картці кожна зручність має піктограму.
6. На кожній картці ціна у форматі «£N per night» і кнопка «Book now».
7. Вкладку закрито; кейс завершено.</t>
  </si>
  <si>
    <t xml:space="preserve">Medium</t>
  </si>
  <si>
    <t xml:space="preserve">TC-007</t>
  </si>
  <si>
    <t xml:space="preserve">F-20, GUI-20</t>
  </si>
  <si>
    <t xml:space="preserve">«Book now» відкриває /reservation/{id} із датами віджета в параметрах checkin і checkout</t>
  </si>
  <si>
    <t xml:space="preserve">1. Відкрити https://automationintesting.online.
2. У поле Check In віджета ввести дату «сьогодні + 40 днів» у форматі мм/дд/рррр.
3. У поле Check Out віджета ввести дату «сьогодні + 42 дні» у форматі мм/дд/рррр.
4. Натиснути «Check Availability».
5. Натиснути «Book now» на першій картці номера.
6. Переглянути адресу сторінки.
7.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</si>
  <si>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номера.
6. Адреса містить /reservation/, параметри checkin і checkout; дати збігаються з введеними (сьогодні + 40 і + 42) у форматі РРРР-ММ-ДД.
7. Вкладку закрито; кейс завершено.</t>
  </si>
  <si>
    <t xml:space="preserve">TC-008</t>
  </si>
  <si>
    <t xml:space="preserve">F-30</t>
  </si>
  <si>
    <t xml:space="preserve">Check Availability оновлює перелік номерів для вибраного інтервалу</t>
  </si>
  <si>
    <t xml:space="preserve">1. Відкрити https://automationintesting.online.
2. Натиснути «Rooms» у меню.
3. Підрахувати картки номерів у розділі «Our Rooms» (K0).
4. Натиснути «Booking» у меню.
5. У поле Check In віджета ввести дату «сьогодні + 200 днів» у форматі мм/дд/рррр.
6. У поле Check Out віджета ввести дату «сьогодні + 203 дні» у форматі мм/дд/рррр.
7. Натиснути «Check Availability».
8. Натиснути «Rooms» у меню.
9. Підрахувати картки номерів у розділі «Our Rooms» (K1).
10. Закрити вкладку.</t>
  </si>
  <si>
    <t xml:space="preserve">1. Головна сторінка готелю завантажується.
2. Сторінку прокручено до розділу «Our Rooms» із картками номерів.
3. K0 — ціле число не менше 1.
4. Сторінку прокручено до віджета «Check Availability &amp; Book Your Stay».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Сторінку прокручено до розділу «Our Rooms».
9. K1 не перевищує K0; кожна показана картка має тип (Single, Double або Suite), ціну «£N per night» і кнопку «Book now».
10. Вкладку закрито; кейс завершено.</t>
  </si>
  <si>
    <t xml:space="preserve">TC-009</t>
  </si>
  <si>
    <t xml:space="preserve">F-40, F-30, BL-70</t>
  </si>
  <si>
    <t xml:space="preserve">Номер, зайнятий хоча б на одну ніч вибраного інтервалу, не показується в переліку вільних</t>
  </si>
  <si>
    <t xml:space="preserve">Chrome (поточна версія), нова сесія (інкогніто); без входу; demo https://automationintesting.online доступне; якщо на кроці «Записати» перший номер для вибраних дат недоступний (бронювання вже існує), усі дати кейсу зсунути на +100 днів і далі виконувати з новими датами; DevTools (F12) → Network відкрито, фільтр «checkin»</t>
  </si>
  <si>
    <t xml:space="preserve">1. Відкрити https://automationintesting.online.
2. У поле Check In віджета ввести дату «сьогодні + 60 днів» у форматі мм/дд/рррр.
3. У поле Check Out віджета ввести дату «сьогодні + 62 дні» у форматі мм/дд/рррр.
4. Натиснути «Check Availability».
5. Записати тип, опис і ціну першого номера в переліку.
6. Натиснути «Book now» на першій картці номера.
7. Натиснути «Reserve Now» на сторінці номера.
8. У поле Firstname ввести «T3-Guest».
9. У поле Lastname ввести «Tester».
10. У поле Email ввести «t3.guest@example.com».
11. У поле Phone ввести «+380001234567».
12. Натиснути «Reserve Now» у формі бронювання.
13. Відкрити https://automationintesting.online у цій самій вкладці.
14. У поле Check In віджета ввести дату «сьогодні + 61 день» у форматі мм/дд/рррр.
15. У поле Check Out віджета ввести дату «сьогодні + 63 дні» у форматі мм/дд/рррр.
16. Натиснути «Check Availability».
17. Переглянути перелік і знайти номер із записаними типом, описом і ціною.
18.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</si>
  <si>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номера.
7. З'являється форма бронювання.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Значення введено в поле; повідомлень про помилку немає.
12. Показано «Booking Successful!» з датами проживання сьогодні + 60 і + 62.
13. Головна сторінка готелю завантажується.
14. У полі показано введену дату.
15. У полі показано введену дату.
16. У Network з'являється новий запит, URL якого містить checkin і checkout, що дорівнюють введеним датам у форматі РРРР-ММ-ДД.
17. Цього номера в переліку немає: його ніч +61 зайнята.
18. Вкладку закрито; кейс завершено.</t>
  </si>
  <si>
    <t xml:space="preserve">Бронювання T3-Guest на + 60 … + 62 лишається на demo; повторне виконання — з іншими датами.</t>
  </si>
  <si>
    <t xml:space="preserve">негативний</t>
  </si>
  <si>
    <t xml:space="preserve">TC-010</t>
  </si>
  <si>
    <t xml:space="preserve">BL-70, F-60</t>
  </si>
  <si>
    <t xml:space="preserve">Виїзд у день заїзду іншого гостя дозволений: номер вільний на інтервал, що починається в день виїзду</t>
  </si>
  <si>
    <t xml:space="preserve">1. Відкрити https://automationintesting.online.
2. У поле Check In віджета ввести дату «сьогодні + 70 днів» у форматі мм/дд/рррр.
3. У поле Check Out віджета ввести дату «сьогодні + 72 дні» у форматі мм/дд/рррр.
4. Натиснути «Check Availability».
5. Записати тип, опис і ціну першого номера в переліку.
6. Натиснути «Book now» на першій картці номера.
7. Натиснути «Reserve Now» на сторінці номера.
8. У поле Firstname ввести «T3-Guest».
9. У поле Lastname ввести «Tester».
10. У поле Email ввести «t3.guest@example.com».
11. У поле Phone ввести «+380001234567».
12. Натиснути «Reserve Now» у формі бронювання.
13. Відкрити https://automationintesting.online у цій самій вкладці.
14. У поле Check In віджета ввести дату «сьогодні + 72 дні» у форматі мм/дд/рррр.
15. У поле Check Out віджета ввести дату «сьогодні + 74 дні» у форматі мм/дд/рррр.
16. Натиснути «Check Availability».
17. Знайти в переліку номер із записаними типом, описом і ціною.
18. Натиснути «Book now» на цій картці.
19. Натиснути «Reserve Now» на сторінці номера.
20. У поле Firstname ввести «T3-Guest2».
21. У поле Lastname ввести «Tester».
22. У поле Email ввести «t3.guest2@example.com».
23. У поле Phone ввести «+380001234568».
24. Натиснути «Reserve Now» у формі бронювання.
25.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</si>
  <si>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номера.
7. З'являється форма бронювання.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Значення введено в поле; повідомлень про помилку немає.
12. Показано «Booking Successful!» з датами сьогодні + 70 і + 72.
13. Головна сторінка готелю завантажується.
14. У полі показано введену дату.
15. У полі показано введену дату.
16. У Network з'являється новий запит, URL якого містить checkin і checkout, що дорівнюють введеним датам у форматі РРРР-ММ-ДД.
17. Номер у переліку є.
18. Відкрито сторінку цього номера.
19. З'являється форма бронювання.
20. Значення введено в поле; повідомлень про помилку немає.
21. Значення введено в поле; повідомлень про помилку немає.
22. Значення введено в поле; повідомлень про помилку немає.
23. Значення введено в поле; повідомлень про помилку немає.
24. Показано «Booking Successful!» з датами сьогодні + 72 і + 74.
25. Вкладку закрито; кейс завершено.</t>
  </si>
  <si>
    <t xml:space="preserve">Два бронювання T3-… лишаються на demo; повторне виконання — з іншими датами.</t>
  </si>
  <si>
    <t xml:space="preserve">TC-011</t>
  </si>
  <si>
    <t xml:space="preserve">F-40</t>
  </si>
  <si>
    <t xml:space="preserve">Перелік вільних номерів з'являється не довше ніж за 3 с після «Check Availability»</t>
  </si>
  <si>
    <t xml:space="preserve">1. Відкрити https://automationintesting.online.
2. Відкрити DevTools (F12) і перейти на вкладку Network.
3. У полі фільтра Network ввести «checkin».
4. Натиснути «Clear» у Network.
5. У поле Check In віджета ввести дату «сьогодні + 200 днів» у форматі мм/дд/рррр.
6. У поле Check Out віджета ввести дату «сьогодні + 203 дні» у форматі мм/дд/рррр.
7. Натиснути «Check Availability».
8. У Network знайти запит із checkin і checkout у URL і переглянути значення його колонки Time.
9. Закрити вкладку.</t>
  </si>
  <si>
    <t xml:space="preserve">1. Головна сторінка готелю завантажується.
2. Вкладку Network відкрито.
3. Фільтр застосовано.
4. Журнал запитів порожній.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Time цього запиту не перевищує 3000 мс.
9. Вкладку закрито; кейс завершено.</t>
  </si>
  <si>
    <t xml:space="preserve">TC-012</t>
  </si>
  <si>
    <t xml:space="preserve">F-50</t>
  </si>
  <si>
    <t xml:space="preserve">Сторінка номера показує тип, «Accessible», «Max N Guests», опис, зручності, правила, календар і «Price Summary»</t>
  </si>
  <si>
    <t xml:space="preserve">1. Відкрити https://automationintesting.online.
2. У поле Check In віджета ввести дату «сьогодні + 80 днів» у форматі мм/дд/рррр.
3. У поле Check Out віджета ввести дату «сьогодні + 83 дні» у форматі мм/дд/рррр.
4. Натиснути «Check Availability».
5. Натиснути «Book now» на першій картці номера в переліку.
6. Переглянути блок опису номера.
7. Переглянути позначку «Accessible» біля типу номера.
8. Переглянути блок правил.
9. Переглянути календар.
10. Переглянути блок «Price Summary».
11.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</si>
  <si>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Є тип, «Max N Guests» (N — ціле), опис, зручності.
7. Якщо номер пристосований (у розділі номерів адмінпанелі Accessible = true) — позначка «Accessible» є; якщо ні — позначки немає. У журналі зазначити, який із двох варіантів виконано.
8. Заїзд 3:00 PM – 8:00 PM; виїзд до 11:00 AM.
9. Інтервал сьогодні + 80 … + 83 виділено.
10. Блок присутній.
11. Вкладку закрито; кейс завершено.</t>
  </si>
  <si>
    <t xml:space="preserve">TC-013</t>
  </si>
  <si>
    <t xml:space="preserve">Price Summary для 1 ночі: Total дорівнює тарифу плюс 25 плюс 15</t>
  </si>
  <si>
    <t xml:space="preserve">1. Відкрити https://automationintesting.online.
2. У поле Check In віджета ввести дату «сьогодні + 90 днів» у форматі мм/дд/рррр.
3. У поле Check Out віджета ввести дату «сьогодні + 91 день» у форматі мм/дд/рррр.
4. Натиснути «Check Availability».
5. Записати ціну «£T per night» першої картки номера в переліку.
6. Натиснути «Book now» на першій картці номера в переліку.
7. Переглянути блок «Price Summary».
8.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</si>
  <si>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Тариф T записано (ціле число).
6. Відкрито сторінку номера /reservation/{id}; у календарі виділено вибраний інтервал.
7. Рядок «£T x 1 nights» із сумою T; «Cleaning fee» £25; «Service fee» £15; «Total» = T + 40.
8. Вкладку закрито; кейс завершено.</t>
  </si>
  <si>
    <t xml:space="preserve">TC-014</t>
  </si>
  <si>
    <t xml:space="preserve">Price Summary для 3 ночей: Total дорівнює добутку тарифу на 3 плюс 25 плюс 15</t>
  </si>
  <si>
    <t xml:space="preserve">1. Відкрити https://automationintesting.online.
2. У поле Check In віджета ввести дату «сьогодні + 95 днів» у форматі мм/дд/рррр.
3. У поле Check Out віджета ввести дату «сьогодні + 98 днів» у форматі мм/дд/рррр.
4. Натиснути «Check Availability».
5. Записати ціну «£T per night» першої картки номера в переліку.
6. Натиснути «Book now» на першій картці номера в переліку.
7. Переглянути блок «Price Summary».
8.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</si>
  <si>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Тариф T записано (ціле число).
6. Відкрито сторінку номера /reservation/{id}; у календарі виділено вибраний інтервал.
7. Рядок «£T x 3 nights» із сумою 3 × T; «Cleaning fee» £25; «Service fee» £15; «Total» = 3 × T + 40.
8. Вкладку закрито; кейс завершено.</t>
  </si>
  <si>
    <t xml:space="preserve">TC-015</t>
  </si>
  <si>
    <t xml:space="preserve">GUI-50</t>
  </si>
  <si>
    <t xml:space="preserve">Price Summary: «Cleaning fee» £25, «Service fee» £15, підсумок «Total» напівжирним</t>
  </si>
  <si>
    <t xml:space="preserve">1. Відкрити https://automationintesting.online.
2. У поле Check In віджета ввести дату «сьогодні + 105 днів» у форматі мм/дд/рррр.
3. У поле Check Out віджета ввести дату «сьогодні + 107 днів» у форматі мм/дд/рррр.
4. Натиснути «Check Availability».
5. Натиснути «Book now» на першій картці номера в переліку.
6. Переглянути рядки «Cleaning fee» і «Service fee».
7. Відкрити DevTools на елементі «Total» (правий клік → Inspect) і переглянути обчислений font-weight.
8.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</si>
  <si>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«Cleaning fee» — £25; «Service fee» — £15.
7. font-weight «Total» не менше 600 (напівжирний).
8. Вкладку закрито; кейс завершено.</t>
  </si>
  <si>
    <t xml:space="preserve">TC-016</t>
  </si>
  <si>
    <t xml:space="preserve">F-60, GUI-40</t>
  </si>
  <si>
    <t xml:space="preserve">Бронювання з коректними даними зберігається і показує «Booking Successful!» з датами проживання</t>
  </si>
  <si>
    <t xml:space="preserve">Chrome (поточна версія), нова сесія (інкогніто); без входу; demo https://automationintesting.online доступне; на дати «сьогодні + 80 … + 83» інших бронювань немає (за потреби — інші дати); DevTools (F12) → Network відкрито, фільтр «checkin»</t>
  </si>
  <si>
    <t xml:space="preserve">1. Відкрити https://automationintesting.online.
2. У поле Check In віджета ввести дату «сьогодні + 80 днів» у форматі мм/дд/рррр.
3. У поле Check Out віджета ввести дату «сьогодні + 83 дні» у форматі мм/дд/рррр.
4. Натиснути «Check Availability».
5. Натиснути «Book now» на першій картці номера в переліку.
6. Натиснути «Reserve Now» на сторінці номера.
7. У поле Firstname ввести «T3-Guest».
8. У поле Lastname ввести «Tester».
9. У поле Email ввести «t3.guest@example.com».
10. У поле Phone ввести «+380001234567».
11. Натиснути «Reserve Now» у формі бронювання.
12.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</si>
  <si>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Значення введено в поле; повідомлень про помилку немає.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Показано повідомлення «Booking Successful!» з датами проживання сьогодні + 80 і + 83; помилок немає.
12. Вкладку закрито; кейс завершено.</t>
  </si>
  <si>
    <t xml:space="preserve">Бронювання T3-Guest лишається на demo; повторне виконання — з іншими датами.</t>
  </si>
  <si>
    <t xml:space="preserve">TC-017</t>
  </si>
  <si>
    <t xml:space="preserve">GUI-40</t>
  </si>
  <si>
    <t xml:space="preserve">Форма бронювання містить поля з підказками Firstname, Lastname, Email, Phone і кнопки «Reserve Now», «Cancel»</t>
  </si>
  <si>
    <t xml:space="preserve">1. Відкрити https://automationintesting.online.
2. У поле Check In віджета ввести дату «сьогодні + 110 днів» у форматі мм/дд/рррр.
3. У поле Check Out віджета ввести дату «сьогодні + 112 днів»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підказки (placeholder) у полях форми.
8. Переглянути кнопки під полями.
9.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</si>
  <si>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Підказки: «Firstname», «Lastname», «Email», «Phone».
8. Є кнопки «Reserve Now» і «Cancel».
9. Вкладку закрито; кейс завершено.</t>
  </si>
  <si>
    <t xml:space="preserve">TC-018</t>
  </si>
  <si>
    <t xml:space="preserve">Кнопка «Cancel» приховує форму бронювання без створення бронювання</t>
  </si>
  <si>
    <t xml:space="preserve">1. Відкрити https://automationintesting.online.
2. У поле Check In віджета ввести дату «сьогодні + 115 днів» у форматі мм/дд/рррр.
3. У поле Check Out віджета ввести дату «сьогодні + 117 днів» у форматі мм/дд/рррр.
4. Натиснути «Check Availability».
5. Записати тип, опис і ціну першого номера в переліку.
6. Натиснути «Book now» на першій картці номера в переліку.
7. Натиснути «Reserve Now» на сторінці номера.
8. У поле Firstname ввести «T3-Guest».
9. Натиснути «Cancel».
10. Відкрити https://automationintesting.online у цій самій вкладці.
11. У поле Check In віджета ввести дату «сьогодні + 115 днів» у форматі мм/дд/рррр.
12. У поле Check Out віджета ввести дату «сьогодні + 117 днів» у форматі мм/дд/рррр.
13. Натиснути «Check Availability».
14. Знайти в переліку номер із записаними типом, описом і ціною.
15.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</si>
  <si>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 /reservation/{id}; у календарі виділено вибраний інтервал.
7. З'являється форма бронювання.
8. Значення введено в поле; повідомлень про помилку немає.
9. Форма бронювання прихована; бронювання не створено.
10. Головна сторінка готелю завантажується.
11. У полі показано введену дату.
12. У полі показано введену дату.
13. У Network з'являється новий запит, URL якого містить checkin і checkout, що дорівнюють введеним датам у форматі РРРР-ММ-ДД.
14. Номер із записаними типом, описом і ціною лишається в переліку вільних.
15. Вкладку закрито; кейс завершено.</t>
  </si>
  <si>
    <t xml:space="preserve">TC-019</t>
  </si>
  <si>
    <t xml:space="preserve">GUI-80, F-60, GUI-60</t>
  </si>
  <si>
    <t xml:space="preserve">«Reserve Now» завжди активна; натискання з порожніми полями показує перелік помилок над кнопкою, бронювання не зберігається</t>
  </si>
  <si>
    <t xml:space="preserve">1. Відкрити https://automationintesting.online.
2. У поле Check In віджета ввести дату «сьогодні + 120 днів» у форматі мм/дд/рррр.
3. У поле Check Out віджета ввести дату «сьогодні + 122 дні»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стан кнопки «Reserve Now» у формі до введення даних.
8. Натиснути «Reserve Now» з усіма порожніми полями.
9.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</si>
  <si>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Кнопка активна (не затемнена, не disabled).
8. Над кнопкою показано перелік помилок валідації; кожна помилка називає поле і причину; «Booking Successful!» не показано.
9. Вкладку закрито; кейс завершено.</t>
  </si>
  <si>
    <t xml:space="preserve">TC-020</t>
  </si>
  <si>
    <t xml:space="preserve">F-60, GUI-60</t>
  </si>
  <si>
    <t xml:space="preserve">Бронювання з Email без символу «@» відхиляється, помилка називає поле Email</t>
  </si>
  <si>
    <t xml:space="preserve">1. Відкрити https://automationintesting.online.
2. У поле Check In віджета ввести дату «сьогодні + 125 днів» у форматі мм/дд/рррр.
3. У поле Check Out віджета ввести дату «сьогодні + 127 днів» у форматі мм/дд/рррр.
4. Натиснути «Check Availability».
5. Натиснути «Book now» на першій картці номера в переліку.
6. Натиснути «Reserve Now» на сторінці номера.
7. У поле Firstname ввести «T3-Guest».
8. У поле Lastname ввести «Tester».
9. У поле Email ввести «t3.guest.example.com».
10. У поле Phone ввести «+380001234567».
11. Натиснути «Reserve Now» у формі бронювання.
12.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</si>
  <si>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Значення введено в поле; повідомлень про помилку немає.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Над кнопкою показано помилку, що називає поле Email і причину; «Booking Successful!» не показано; бронювання не створено.
12. Вкладку закрито; кейс завершено.</t>
  </si>
  <si>
    <t xml:space="preserve">TC-021</t>
  </si>
  <si>
    <t xml:space="preserve">F-70, GUI-85</t>
  </si>
  <si>
    <t xml:space="preserve">Контактна форма з коректними даними зберігає повідомлення і показує подяку з іменем і темою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</si>
  <si>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T3-Booking question.
7. У поле Message ввести T3 test message about booking dates.
8. Натиснути «Submit».
9.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</si>
  <si>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подякою; у тексті є ім'я «T3-Guest» і тема «T3-Booking question».
9. Вкладку закрито; кейс завершено.</t>
  </si>
  <si>
    <t xml:space="preserve">Повідомлення T3-… лишається в адмінпанелі.</t>
  </si>
  <si>
    <t xml:space="preserve">TC-022</t>
  </si>
  <si>
    <t xml:space="preserve">GUI-85</t>
  </si>
  <si>
    <t xml:space="preserve">Форма «Send Us a Message» містить поля Name, Email, Phone, Subject, багаторядкове Message і кнопку «Submit»</t>
  </si>
  <si>
    <t xml:space="preserve">1. Відкрити https://automationintesting.online.
2. Натиснути «Contact» у меню.
3. Переглянути поля форми.
4. У поле Message ввести два рядки через Enter: «T3 line one» і «T3 line two».
5. Закрити вкладку.</t>
  </si>
  <si>
    <t xml:space="preserve">1. Головна сторінка готелю завантажується.
2. Сторінку прокручено до форми.
3. Є поля Name, Email, Phone, Subject, Message і кнопка «Submit».
4. Обидва рядки відображаються у полі окремо (поле багаторядкове).
5. Вкладку закрито; кейс завершено.</t>
  </si>
  <si>
    <t xml:space="preserve">TC-023</t>
  </si>
  <si>
    <t xml:space="preserve">GUI-60, F-70</t>
  </si>
  <si>
    <t xml:space="preserve">Контактна форма з порожньою темою: помилка називає поле Subject, стоїть над кнопкою, без технічних кодів, до 100 символів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</si>
  <si>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Message ввести T3 test message about booking dates.
7. Натиснути «Submit».
8.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</si>
  <si>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Над кнопкою «Submit» показано перелік помилок; є помилка, що називає поле Subject і причину; довжина кожного повідомлення до 100 символів; технічних кодів немає; форма лишається; подяку не показано.
8. Вкладку закрито; кейс завершено.</t>
  </si>
  <si>
    <t xml:space="preserve">TC-024</t>
  </si>
  <si>
    <t xml:space="preserve">F-70</t>
  </si>
  <si>
    <t xml:space="preserve">Контактна форма: тема довжиною 4 символи відхиляється (діапазон 5–100)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</si>
  <si>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«T3-A».
7. У поле Message ввести «T3 boundary message text ok».
8. Натиснути «Submit».
9.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</si>
  <si>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Над кнопкою показано помилку, що називає поле Subject і причину (довжина поза 5–100); повідомлення не збережено; форма лишається.
9. Вкладку закрито; кейс завершено.</t>
  </si>
  <si>
    <t xml:space="preserve">TC-025</t>
  </si>
  <si>
    <t xml:space="preserve">Контактна форма: тема довжиною 5 символів приймається (діапазон 5–100)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</si>
  <si>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«T3-AB».
7. У поле Message ввести «T3 boundary message text ok».
8. Натиснути «Submit».
9.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</si>
  <si>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 з темою з кроку «Subject»; помилок немає.
9. Вкладку закрито; кейс завершено.</t>
  </si>
  <si>
    <t xml:space="preserve">Для позитивного значення повідомлення T3-… лишається в адмінпанелі.</t>
  </si>
  <si>
    <t xml:space="preserve">TC-026</t>
  </si>
  <si>
    <t xml:space="preserve">Контактна форма: тема довжиною 100 символів приймається (діапазон 5–100)</t>
  </si>
  <si>
    <t xml:space="preserve">Chrome (поточна версія), нова сесія (інкогніто); без входу; demo https://automationintesting.online доступне; DevTools (F12 → Console) доступні для генерації рядка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</si>
  <si>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консолі DevTools (F12 → Console) виконати copy('T3-'+'A'.repeat(97)).
7. У поле Subject вставити вміст буфера обміну (Ctrl+V).
8. У поле Message ввести «T3 boundary message text ok».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</si>
  <si>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У буфері обміну рядок довжиною 100: «T3-» і 97 символів «A».
7. Значення вставлено в поле; повідомлень про помилку немає.
8. Значення введено в поле; повідомлень про помилку немає.
9. Форма замінена подякою з темою з кроку «Subject»; помилок немає.
10. Вкладку закрито; кейс завершено.</t>
  </si>
  <si>
    <t xml:space="preserve">TC-027</t>
  </si>
  <si>
    <t xml:space="preserve">Контактна форма: тема довжиною 101 символ відхиляється (діапазон 5–100)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</si>
  <si>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консолі DevTools (F12 → Console) виконати copy('T3-'+'A'.repeat(98)).
7. У поле Subject вставити вміст буфера обміну (Ctrl+V).
8. У поле Message ввести «T3 boundary message text ok».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</si>
  <si>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У буфері обміну рядок довжиною 101: «T3-» і 98 символів «A».
7. Значення вставлено в поле; повідомлень про помилку немає.
8. Значення введено в поле; повідомлень про помилку немає.
9. Над кнопкою показано помилку, що називає поле Subject і причину (довжина поза 5–100); повідомлення не збережено; форма лишається.
10. Вкладку закрито; кейс завершено.</t>
  </si>
  <si>
    <t xml:space="preserve">TC-028</t>
  </si>
  <si>
    <t xml:space="preserve">Контактна форма: повідомлення довжиною 19 символів відхиляється (діапазон 20–2000)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</si>
  <si>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copy('M'.repeat(19)).
8. У поле Message вставити вміст буфера обміну (Ctrl+V).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</si>
  <si>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19: символ «M».
8. Значення вставлено в поле; повідомлень про помилку немає.
9. Над кнопкою показано помилку, що називає поле Message і причину (довжина поза 20–2000); повідомлення не збережено; форма лишається.
10. Вкладку закрито; кейс завершено.</t>
  </si>
  <si>
    <t xml:space="preserve">TC-029</t>
  </si>
  <si>
    <t xml:space="preserve">Контактна форма: повідомлення довжиною 20 символів приймається (діапазон 20–2000)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</si>
  <si>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copy('M'.repeat(20)).
8. У поле Message вставити вміст буфера обміну (Ctrl+V).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</si>
  <si>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20: символ «M».
8. Значення вставлено в поле; повідомлень про помилку немає.
9. Форма замінена подякою; помилок немає.
10. Вкладку закрито; кейс завершено.</t>
  </si>
  <si>
    <t xml:space="preserve">TC-030</t>
  </si>
  <si>
    <t xml:space="preserve">Контактна форма: повідомлення довжиною 2000 символів приймається (діапазон 20–2000)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</si>
  <si>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copy('M'.repeat(2000)).
8. У поле Message вставити вміст буфера обміну (Ctrl+V).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</si>
  <si>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2000: символ «M».
8. Значення вставлено в поле; повідомлень про помилку немає.
9. Форма замінена подякою; помилок немає.
10. Вкладку закрито; кейс завершено.</t>
  </si>
  <si>
    <t xml:space="preserve">TC-031</t>
  </si>
  <si>
    <t xml:space="preserve">Контактна форма: повідомлення довжиною 2001 символ відхиляється (діапазон 20–2000)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</si>
  <si>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copy('M'.repeat(2001)).
8. У поле Message вставити вміст буфера обміну (Ctrl+V).
9. Натиснути «Submit».
10.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</si>
  <si>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2001: символ «M».
8. Значення вставлено в поле; повідомлень про помилку немає.
9. Над кнопкою показано помилку, що називає поле Message і причину (довжина поза 20–2000); повідомлення не збережено; форма лишається.
10. Вкладку закрито; кейс завершено.</t>
  </si>
  <si>
    <t xml:space="preserve">TC-032</t>
  </si>
  <si>
    <t xml:space="preserve">Контактна форма: телефон довжиною 10 символів відхиляється (діапазон 11–21)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</si>
  <si>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«3456789012» (10 цифр).
6. У поле Subject ввести «T3-Phone boundary».
7. У поле Message ввести «T3 boundary message text ok».
8. Натиснути «Submit».
9.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</si>
  <si>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Над кнопкою показано помилку, що називає поле Phone і причину (довжина поза 11–21); повідомлення не збережено; форма лишається.
9. Вкладку закрито; кейс завершено.</t>
  </si>
  <si>
    <t xml:space="preserve">TC-033</t>
  </si>
  <si>
    <t xml:space="preserve">Контактна форма: телефон довжиною 11 символів приймається (діапазон 11–21)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</si>
  <si>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«34567890123» (11 цифр).
6. У поле Subject ввести «T3-Phone boundary».
7. У поле Message ввести «T3 boundary message text ok».
8. Натиснути «Submit».
9. Закрити вкладку.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</si>
  <si>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подякою; помилок немає.
9. Вкладку закрито; кейс завершено.</t>
  </si>
  <si>
    <t xml:space="preserve">TC-034</t>
  </si>
  <si>
    <t xml:space="preserve">Контактна форма: телефон довжиною 21 символ приймається (діапазон 11–21)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</si>
  <si>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«345678901234567890123» (21 цифра).
6. У поле Subject ввести «T3-Phone boundary».
7. У поле Message ввести «T3 boundary message text ok».
8. Натиснути «Submit».
9. Закрити вкладку.</t>
  </si>
  <si>
    <t xml:space="preserve">TC-035</t>
  </si>
  <si>
    <t xml:space="preserve">Контактна форма: телефон довжиною 22 символи відхиляється (діапазон 11–21)</t>
  </si>
  <si>
    <t xml:space="preserve">1. Відкрити https://automationintesting.online.
2. Натиснути «Contact» у меню.
3. У поле Name ввести T3-Guest.
4. У поле Email ввести t3.guest@example.com.
5. У поле Phone ввести «3456789012345678901234» (22 цифри).
6. У поле Subject ввести «T3-Phone boundary».
7. У поле Message ввести «T3 boundary message text ok».
8. Натиснути «Submit».
9. Закрити вкладку.</t>
  </si>
  <si>
    <t xml:space="preserve">TC-036</t>
  </si>
  <si>
    <t xml:space="preserve">F-80</t>
  </si>
  <si>
    <t xml:space="preserve">Вхід admin / password відкриває розділ керування номерами</t>
  </si>
  <si>
    <t xml:space="preserve">Chrome (поточна версія), нова сесія (інкогніто); обліковий запис адміністратора admin / password; demo https://automationintesting.online/admin доступне</t>
  </si>
  <si>
    <t xml:space="preserve">1. Відкрити https://automationintesting.online/admin.
2. У поле Username ввести «admin».
3. У поле Password ввести «password».
4. Натиснути «Login».
5. Натиснути «Logout» у шапці адмінпанелі.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</si>
  <si>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Повернення на сторінку входу /admin.</t>
  </si>
  <si>
    <t xml:space="preserve">TC-037</t>
  </si>
  <si>
    <t xml:space="preserve">Вхід із неправильним паролем не надає доступу, користувач лишається на сторінці входу</t>
  </si>
  <si>
    <t xml:space="preserve">1. Відкрити https://automationintesting.online/admin.
2. У поле Username ввести «admin».
3. У поле Password ввести «T3-wrong».
4. Натиснути «Login».
5. Закрити вкладку.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</si>
  <si>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Користувач лишається на сторінці входу; розділ керування номерами не відкрито.
5. Вкладку закрито; кейс завершено.</t>
  </si>
  <si>
    <t xml:space="preserve">TC-038</t>
  </si>
  <si>
    <t xml:space="preserve">GUI-70</t>
  </si>
  <si>
    <t xml:space="preserve">Сторінка входу містить заголовок «Login», поля з підказками, маскування пароля і кнопку «Login»</t>
  </si>
  <si>
    <t xml:space="preserve">1. Відкрити https://automationintesting.online/admin.
2. Переглянути заголовок і підписи полів.
3. Переглянути підказку (placeholder) поля Username.
4. Переглянути підказку (placeholder) порожнього поля Password.
5. У поле Password ввести «abc».
6. Переглянути кнопку під полями.
7. Закрити вкладку.</t>
  </si>
  <si>
    <t xml:space="preserve">1. Відкрито сторінку входу до адмінпанелі.
2. Заголовок «Login»; підписи «Username» і «Password».
3. Підказка «Enter username».
4. Підказка «Password».
5. Символи замінено маскою (крапки або зірочки), текст «abc» не видно.
6. Кнопка «Login».
7. Вкладку закрито; кейс завершено.</t>
  </si>
  <si>
    <t xml:space="preserve">TC-039</t>
  </si>
  <si>
    <t xml:space="preserve">Вхід із порожніми полями позначає поля форми як помилкові і не надає доступ</t>
  </si>
  <si>
    <t xml:space="preserve">1. Відкрити https://automationintesting.online/admin.
2. Натиснути «Login» з порожніми полями Username і Password.
3. Закрити вкладку.</t>
  </si>
  <si>
    <t xml:space="preserve">1. Відкрито сторінку входу до адмінпанелі.
2. Поля Username і Password обведено червоною рамкою; розділ керування номерами не відкрито.
3. Вкладку закрито; кейс завершено.</t>
  </si>
  <si>
    <t xml:space="preserve">TC-040</t>
  </si>
  <si>
    <t xml:space="preserve">Шапка сторінки входу містить посилання «Front Page» і кнопку «Logout»</t>
  </si>
  <si>
    <t xml:space="preserve">1. Відкрити https://automationintesting.online/admin.
2. Переглянути шапку сторінки входу.
3. Закрити вкладку.</t>
  </si>
  <si>
    <t xml:space="preserve">1. Відкрито сторінку входу до адмінпанелі.
2. У шапці є посилання «Front Page» і кнопка «Logout» (за GUI-70 SRS 1.1).
3. Вкладку закрито; кейс завершено.</t>
  </si>
  <si>
    <t xml:space="preserve">TC-041</t>
  </si>
  <si>
    <t xml:space="preserve">F-85, S-10</t>
  </si>
  <si>
    <t xml:space="preserve">Після «Logout» адмінпанель повертає на сторінку входу, а пряма адреса розділу номерів без входу недоступна</t>
  </si>
  <si>
    <t xml:space="preserve">1. Відкрити https://automationintesting.online/admin.
2. У поле Username ввести «admin».
3. У поле Password ввести «password».
4. Натиснути «Login».
5. Скопіювати адресу розділу номерів із адресного рядка.
6. Натиснути «Logout» у шапці адмінпанелі.
7. Вставити скопійовану адресу в адресний рядок і натиснути Enter.
8. Закрити вкладку.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</si>
  <si>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Адресу скопійовано.
6. Повернення на сторінку входу /admin.
7. Відкрито сторінку входу; вмісту адмінпанелі немає.
8. Вкладку закрито; кейс завершено.</t>
  </si>
  <si>
    <t xml:space="preserve">TC-042</t>
  </si>
  <si>
    <t xml:space="preserve">S-10</t>
  </si>
  <si>
    <t xml:space="preserve">Сторінка входу /admin і запит входу працюють через HTTPS</t>
  </si>
  <si>
    <t xml:space="preserve">Chrome (поточна версія), нова сесія (інкогніто); обліковий запис адміністратора admin / password; demo https://automationintesting.online/admin доступне; DevTools → Network відкрито</t>
  </si>
  <si>
    <t xml:space="preserve">1. Відкрити https://automationintesting.online/admin.
2. Переглянути індикатор безпеки в адресному рядку.
3. У поле Username ввести «admin», у поле Password — «password» і натиснути «Login» (Network записує запит).
4. У Network знайти запит входу і переглянути поле Request URL.
5. Натиснути «Logout» у шапці адмінпанелі.</t>
  </si>
  <si>
    <t xml:space="preserve">1. Відкрито сторінку входу до адмінпанелі.
2. Адреса починається з https://; з'єднання позначено як захищене.
3. Відкрито розділ керування номерами.
4. Request URL починається з https://.
5. Повернення на сторінку входу /admin.</t>
  </si>
  <si>
    <t xml:space="preserve">TC-043</t>
  </si>
  <si>
    <t xml:space="preserve">F-90</t>
  </si>
  <si>
    <t xml:space="preserve">Розділ номерів показує перелік із номером, типом, доступністю, ціною і зручностями</t>
  </si>
  <si>
    <t xml:space="preserve">1. Відкрити https://automationintesting.online/admin.
2. У поле Username ввести «admin».
3. У поле Password ввести «password».
4. Натиснути «Login».
5. Переглянути перелік номерів.
6. Натиснути «Logout» у шапці адмінпанелі.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</si>
  <si>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Для кожного номера показано номер, тип, доступність, ціну і зручності.
6. Повернення на сторінку входу /admin.</t>
  </si>
  <si>
    <t xml:space="preserve">TC-044</t>
  </si>
  <si>
    <t xml:space="preserve">Створення номера T3-101 додає його в адмінпанель і в «Our Rooms»</t>
  </si>
  <si>
    <t xml:space="preserve">1. Відкрити https://automationintesting.online/admin.
2. У поле Username ввести «admin».
3. У поле Password ввести «password».
4. Натиснути «Login».
5. У поле назви/номера номера ввести «T3-101».
6. У полі типу вибрати «Double».
7. У полі «Accessible» вибрати «false».
8. У поле ціни за ніч ввести «137».
9. Позначити зручність «WiFi».
10. Позначити зручність «TV».
11. Натиснути «Create».
12. Відкрити https://automationintesting.online у новій вкладці.
13. Натиснути «Rooms» у меню.
14. Закрити нову вкладку і повернутися на вкладку адмінпанелі.
15. Прибирання: натиснути кнопку видалення біля номера T3-101.
16. Натиснути «Logout» у шапці адмінпанелі.
17. Закрити вкладку.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</si>
  <si>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Значення введено в поле; повідомлень про помилку немає.
9. Зручність позначено.
10. Зручність позначено.
11. Номер T3-101 з'являється у переліку адмінпанелі з типом Double, ціною 137, зручностями WiFi і TV.
12. Головна сторінка готелю завантажується.
13. У розділі «Our Rooms» є картка номера типу Double із ціною «£137 per night».
14. Активна вкладка адмінпанелі.
15. Номер T3-101 зникає з переліку адмінпанелі.
16. Повернення на сторінку входу /admin.
17. Вкладку закрито; кейс завершено.</t>
  </si>
  <si>
    <t xml:space="preserve">Стан demo відновлено кроком прибирання (номер T3-101 видалено).</t>
  </si>
  <si>
    <t xml:space="preserve">TC-045</t>
  </si>
  <si>
    <t xml:space="preserve">Видалення номера T3-102 прибирає його з адмінпанелі і з «Our Rooms»</t>
  </si>
  <si>
    <t xml:space="preserve">1. Відкрити https://automationintesting.online/admin.
2. У поле Username ввести «admin».
3. У поле Password ввести «password».
4. Натиснути «Login».
5. У поле назви/номера номера ввести «T3-102».
6. У полі типу вибрати «Single».
7. У поле ціни за ніч ввести «138».
8. Натиснути «Create».
9. Натиснути кнопку видалення біля номера T3-102.
10. Відкрити https://automationintesting.online у новій вкладці.
11. Натиснути «Rooms» у меню.
12. Закрити нову вкладку і повернутися на вкладку адмінпанелі.
13. Натиснути «Logout» у шапці адмінпанелі.
14. Закрити вкладку.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</si>
  <si>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Номер T3-102 з'являється у переліку адмінпанелі.
9. Номер T3-102 зникає з переліку адмінпанелі.
10. Головна сторінка готелю завантажується.
11. У розділі «Our Rooms» немає картки з типом Single і ціною «£138 per night».
12. Активна вкладка адмінпанелі.
13. Повернення на сторінку входу /admin.
14. Вкладку закрито; кейс завершено.</t>
  </si>
  <si>
    <t xml:space="preserve">TC-046</t>
  </si>
  <si>
    <t xml:space="preserve">F-100</t>
  </si>
  <si>
    <t xml:space="preserve">Адмін бачить у переліку повідомлень ім'я відправника, тему і позначку непрочитаного</t>
  </si>
  <si>
    <t xml:space="preserve">1. Відкрити https://automationintesting.online.
2. Натиснути «Contact» у меню.
3. У поле Name ввести T3-Reader.
4. У поле Email ввести t3.guest@example.com.
5. У поле Phone ввести +380001234567.
6. У поле Subject ввести T3-Unread check.
7. У поле Message ввести T3 test message about booking dates.
8. Натиснути «Submit».
9. Відкрити https://automationintesting.online/admin у новій вкладці.
10. У поле Username ввести «admin».
11. У поле Password ввести «password».
12. Натиснути «Login».
13. Відкрити розділ повідомлень адмінпанелі.
14. Знайти повідомлення від «T3-Reader».
15. Натиснути «Logout» у шапці адмінпанелі.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</si>
  <si>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Показано подяку з іменем «T3-Reader» і темою «T3-Unread check».
9. Відкрито сторінку входу.
10. Значення введено в поле; повідомлень про помилку немає.
11. Символи пароля маскуються.
12. Відкрито розділ керування номерами зі списком номерів.
13. Показано перелік повідомлень.
14. У переліку є ім'я відправника «T3-Reader» і тема «T3-Unread check»; повідомлення позначено як непрочитане.
15. Повернення на сторінку входу /admin.</t>
  </si>
  <si>
    <t xml:space="preserve">Повідомлення T3-Reader лишається в адмінпанелі.</t>
  </si>
  <si>
    <t xml:space="preserve">TC-047</t>
  </si>
  <si>
    <t xml:space="preserve">Відкриття повідомлення позначає його прочитаним і прибирає з непрочитаних</t>
  </si>
  <si>
    <t xml:space="preserve">1. Відкрити https://automationintesting.online.
2. Натиснути «Contact» у меню.
3. У поле Name ввести T3-Opener.
4. У поле Email ввести t3.guest@example.com.
5. У поле Phone ввести +380001234567.
6. У поле Subject ввести T3-Open check.
7. У поле Message ввести T3 test message about booking dates.
8. Натиснути «Submit».
9. Відкрити https://automationintesting.online/admin у новій вкладці.
10. У поле Username ввести «admin».
11. У поле Password ввести «password».
12. Натиснути «Login».
13. Відкрити розділ повідомлень і натиснути на повідомлення від «T3-Opener».
14. Закрити вікно повідомлення і переглянути перелік.
15. Натиснути «Logout» у шапці адмінпанелі.</t>
  </si>
  <si>
    <t xml:space="preserve"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Показано подяку з іменем «T3-Opener».
9. Відкрито сторінку входу.
10. Значення введено в поле; повідомлень про помилку немає.
11. Символи пароля маскуються.
12. Відкрито розділ керування номерами зі списком номерів.
13. Повідомлення відкрито.
14. Повідомлення від «T3-Opener» більше не має позначки непрочитаного.
15. Повернення на сторінку входу /admin.</t>
  </si>
  <si>
    <t xml:space="preserve">Повідомлення T3-Opener лишається в адмінпанелі.</t>
  </si>
  <si>
    <t xml:space="preserve">TC-048</t>
  </si>
  <si>
    <t xml:space="preserve">F-120</t>
  </si>
  <si>
    <t xml:space="preserve">Звіт заповнюваності: для минулого періоду — за фактичними даними, для майбутнього — з позначкою «Прогноз»</t>
  </si>
  <si>
    <t xml:space="preserve">1. Відкрити https://automationintesting.online/admin.
2. У поле Username ввести «admin».
3. У поле Password ввести «password».
4. Натиснути «Login».
5. Відкрити розділ звітів («Report») у меню адмінпанелі.
6. Вибрати період «сьогодні − 30 … сьогодні − 25» і переглянути звіт.
7. Вибрати період «сьогодні + 30 … сьогодні + 35» і переглянути звіт.
8. Натиснути «Logout» у шапці адмінпанелі.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</si>
  <si>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Відкрито звіт заповнюваності номерів.
6. Показано заповнюваність (частку зайнятих ночей) за вибраний період; позначки «Прогноз» немає.
7. Показано заповнюваність за підтвердженими бронюваннями; звіт має позначку «Прогноз».
8. Повернення на сторінку входу /admin.</t>
  </si>
  <si>
    <t xml:space="preserve">Low</t>
  </si>
  <si>
    <t xml:space="preserve">TC-049</t>
  </si>
  <si>
    <t xml:space="preserve">F-130</t>
  </si>
  <si>
    <t xml:space="preserve">Перезавантаження сторінки не завершує сесію адміністратора</t>
  </si>
  <si>
    <t xml:space="preserve">1. Відкрити https://automationintesting.online/admin.
2. У поле Username ввести «admin».
3. У поле Password ввести «password».
4. Натиснути «Login».
5. Натиснути F5 (перезавантажити сторінку).
6. Натиснути «Logout» у шапці адмінпанелі.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</si>
  <si>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Сторінка перезавантажена; адмінпанель відкрита без повторного входу.
6. Повернення на сторінку входу /admin.</t>
  </si>
  <si>
    <t xml:space="preserve">TC-050</t>
  </si>
  <si>
    <t xml:space="preserve">F-130, S-20</t>
  </si>
  <si>
    <t xml:space="preserve">Сесія адміністратора завершується після 30 хвилин неактивності</t>
  </si>
  <si>
    <t xml:space="preserve">1. Відкрити https://automationintesting.online/admin.
2. У поле Username ввести «admin».
3. У поле Password ввести «password».
4. Натиснути «Login».
5. Не виконувати жодних дій у вкладці 31 хвилину.
6. Натиснути «Rooms» у шапці адмінпанелі.
7. Закрити вкладку.</t>
  </si>
  <si>
    <t xml:space="preserve"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Минуло 31 хвилину.
6. Відкрито сторінку входу; доступ до адмінпанелі потребує повторного входу.
7. Вкладку закрито; кейс завершено.</t>
  </si>
  <si>
    <t xml:space="preserve">TC-051</t>
  </si>
  <si>
    <t xml:space="preserve">GUI-20</t>
  </si>
  <si>
    <t xml:space="preserve">Поля Check In і Check Out показують дату у форматі мм/дд/рррр і відкривають календар (формат РРРР-ММ-ДД у URL — див. TC-007)</t>
  </si>
  <si>
    <t xml:space="preserve">1. Відкрити https://automationintesting.online.
2. Натиснути у поле Check In.
3. У календарі вибрати 25-те число наступного місяця.
4. Переглянути значення у полі Check In.
5. Натиснути у поле Check Out.
6. У календарі вибрати 27-ме число наступного місяця.
7. Переглянути значення у полі Check Out.
8. Закрити вкладку.</t>
  </si>
  <si>
    <t xml:space="preserve">1. Головна сторінка готелю завантажується.
2. Відкривається календар.
3. Календар закрито.
4. Значення має вигляд мм/25/рррр (наступний місяць, 25 число); формат мм/дд/рррр.
5. Відкривається календар.
6. Календар закрито.
7. Значення має вигляд мм/27/рррр (наступний місяць, 27 число); формат мм/дд/рррр.
8. Вкладку закрито; кейс завершено.</t>
  </si>
  <si>
    <t xml:space="preserve">TC-052</t>
  </si>
  <si>
    <t xml:space="preserve">GUI-90</t>
  </si>
  <si>
    <t xml:space="preserve">Екран 1366 px: немає перекриття елементів, обрізаного тексту і горизонтального прокручування</t>
  </si>
  <si>
    <t xml:space="preserve">Chrome або Firefox (поточна версія) — кейс виконується двічі — у Chrome і в Firefox; у журналі виконання два окремі рядки, по одному на браузер; DevTools → режим адаптивного екрана</t>
  </si>
  <si>
    <t xml:space="preserve">1. Відкрити DevTools → режим адаптивного екрана і встановити розмір 1366×768.
2. Відкрити https://automationintesting.online.
3. Прокрутити сторінку зверху донизу.
4. Спробувати прокрутити сторінку вліво-вправо.
5. Закрити вкладку.</t>
  </si>
  <si>
    <t xml:space="preserve">1. Розмір вікна встановлено.
2. Головна сторінка готелю завантажується.
3. Елементи не перекриваються; текст не обрізаний.
4. Горизонтального прокручування немає.
5. Вкладку закрито; кейс завершено.</t>
  </si>
  <si>
    <t xml:space="preserve">TC-053</t>
  </si>
  <si>
    <t xml:space="preserve">Екран 375 px: немає перекриття елементів, обрізаного тексту і горизонтального прокручування</t>
  </si>
  <si>
    <t xml:space="preserve">1. Відкрити DevTools → режим адаптивного екрана і встановити розмір 375×667.
2. Відкрити https://automationintesting.online.
3. Прокрутити сторінку зверху донизу.
4. Спробувати прокрутити сторінку вліво-вправо.
5. Закрити вкладку.</t>
  </si>
  <si>
    <t xml:space="preserve">TC-054</t>
  </si>
  <si>
    <t xml:space="preserve">U-20</t>
  </si>
  <si>
    <t xml:space="preserve">Форми бронювання і контактна оформлені однаково: назви полів у підказках, помилки над кнопкою</t>
  </si>
  <si>
    <t xml:space="preserve">1. Відкрити https://automationintesting.online.
2. У поле Check In віджета ввести дату «сьогодні + 130 днів» у форматі мм/дд/рррр.
3. У поле Check Out віджета ввести дату «сьогодні + 132 дні»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поля форми бронювання.
8. Натиснути «Reserve Now» з порожніми полями.
9. Відкрити https://automationintesting.online у цій самій вкладці й натиснути «Contact».
10. Переглянути поля контактної форми.
11. Натиснути «Submit» з порожніми полями.
12. Закрити вкладку.</t>
  </si>
  <si>
    <t xml:space="preserve"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Назви полів подано підказками (placeholder).
8. Перелік помилок показано над кнопкою «Reserve Now».
9. Сторінку прокручено до форми «Send Us a Message».
10. Назви полів подано підказками (placeholder).
11. Перелік помилок показано над кнопкою «Submit».
12. Вкладку закрито; кейс завершено.</t>
  </si>
  <si>
    <t xml:space="preserve">TC-055</t>
  </si>
  <si>
    <t xml:space="preserve">P-10</t>
  </si>
  <si>
    <t xml:space="preserve">Головна сторінка зі списком номерів завантажується не довше ніж за 3 с на каналі 10 Мбіт/с</t>
  </si>
  <si>
    <t xml:space="preserve">1. Відкрити DevTools (F12) і перейти на вкладку Network.
2. Увімкнути прапорець Disable cache.
3. Створити профіль Throttling із download 10 Мбіт/с і вибрати його.
4. Відкрити https://automationintesting.online.
5. Дочекатися появи розділу «Our Rooms» із картками номерів.
6. Переглянути у нижньому рядку Network значення Finish (час завершення останнього запиту, у тому числі запиту зі списком номерів).
7. Закрити вкладку.</t>
  </si>
  <si>
    <t xml:space="preserve">1. Вкладку Network відкрито.
2. Прапорець увімкнено.
3. Профіль вибрано.
4. Головна сторінка готелю завантажується.
5. Картки номерів відображаються.
6. Finish не перевищує 3 с.
7. Вкладку закрито; кейс завершено.</t>
  </si>
  <si>
    <t xml:space="preserve">Покриття вимог SRS 1.1 тест-кейсами</t>
  </si>
  <si>
    <t xml:space="preserve">ID вимоги</t>
  </si>
  <si>
    <t xml:space="preserve">Формулювання (скорочено)</t>
  </si>
  <si>
    <t xml:space="preserve">TC-…</t>
  </si>
  <si>
    <t xml:space="preserve">Примітка</t>
  </si>
  <si>
    <t xml:space="preserve">Головна сторінка: назва, опис, «Book Now», меню; прокручування; «Admin» → /admin</t>
  </si>
  <si>
    <t xml:space="preserve">TC-001, TC-002, TC-003</t>
  </si>
  <si>
    <t xml:space="preserve">«Our Rooms»: тип, опис, зручності, ціна, «Book now» → /reservation/{id}?checkin&amp;checkout</t>
  </si>
  <si>
    <t xml:space="preserve">TC-005, TC-007</t>
  </si>
  <si>
    <t xml:space="preserve">Віджет доступності: дати, «Check Availability», лише вільні номери</t>
  </si>
  <si>
    <t xml:space="preserve">TC-008, TC-009</t>
  </si>
  <si>
    <t xml:space="preserve">Перелік вільних ≤ 3 с; зайнятий номер не показується</t>
  </si>
  <si>
    <t xml:space="preserve">TC-009, TC-011</t>
  </si>
  <si>
    <t xml:space="preserve">Порогове значення 3 с потребує підтвердження замовником (питання 1 у SRS 1.1). TC-009 перевіряє одну поведінку (зайнятий номер не показується) і стосується також F-30 та BL-70; основна вимога — F-40.</t>
  </si>
  <si>
    <t xml:space="preserve">Сторінка номера: інформація, календар, Price Summary (Total = добуток + 25 + 15)</t>
  </si>
  <si>
    <t xml:space="preserve">TC-012, TC-013, TC-014</t>
  </si>
  <si>
    <t xml:space="preserve">F-60</t>
  </si>
  <si>
    <t xml:space="preserve">Бронювання: «Reserve Now», 4 поля, перевірка, «Booking Successful!»</t>
  </si>
  <si>
    <t xml:space="preserve">TC-010, TC-016, TC-019, TC-020</t>
  </si>
  <si>
    <t xml:space="preserve">Текст підтвердження «Booking Successful!» потребує підтвердження замовником (питання 2 у SRS 1.1).</t>
  </si>
  <si>
    <t xml:space="preserve">Контактна форма: поля, обмеження довжини (тема 5–100, повідомлення 20–2000, телефон 11–21), подяка / помилки</t>
  </si>
  <si>
    <t xml:space="preserve">TC-021, TC-023, TC-024, TC-025, TC-026, TC-027, TC-028, TC-029, TC-030, TC-031, TC-032, TC-033, TC-034, TC-035</t>
  </si>
  <si>
    <t xml:space="preserve">Граничні значення: 12 окремих кейсів, обґрунтування — аркуш «Test data».</t>
  </si>
  <si>
    <t xml:space="preserve">Вхід адміністратора (admin / password)</t>
  </si>
  <si>
    <t xml:space="preserve">TC-036, TC-037</t>
  </si>
  <si>
    <t xml:space="preserve">F-85</t>
  </si>
  <si>
    <t xml:space="preserve">Вихід «Logout», повернення на сторінку входу</t>
  </si>
  <si>
    <t xml:space="preserve">Номери: перегляд, створення, видалення</t>
  </si>
  <si>
    <t xml:space="preserve">TC-043, TC-044, TC-045</t>
  </si>
  <si>
    <t xml:space="preserve">Повідомлення: перелік, непрочитані, відкриття</t>
  </si>
  <si>
    <t xml:space="preserve">TC-046, TC-047</t>
  </si>
  <si>
    <t xml:space="preserve">Дії над повідомленням потребують підтвердження замовником (питання 3).</t>
  </si>
  <si>
    <t xml:space="preserve">F-110</t>
  </si>
  <si>
    <t xml:space="preserve">Скасування бронювання: безкоштовно за ≥ 7 днів, інакше плата за BL-60</t>
  </si>
  <si>
    <t xml:space="preserve">не покрито</t>
  </si>
  <si>
    <t xml:space="preserve">Не покрито: політика скасування — офлайн-процес (гість звертається до адміністратора); правило плати реалізоване лише в модулі (SRS 2.3) і перевіряється юніт-тестами BL-60 (спринт 4). Якщо під час виконання в demo буде знайдено функцію скасування — додати кейс.</t>
  </si>
  <si>
    <t xml:space="preserve">Звіт заповнюваності: минулий період / «Прогноз»</t>
  </si>
  <si>
    <t xml:space="preserve">Очікуваний результат взято з SRS 1.1 (дефект № 7, потребує підтвердження замовником). Виконавець фіксує фактичні елементи звіту demo; відсутність вибору періоду або позначки «Прогноз» — розбіжність з вимогою.</t>
  </si>
  <si>
    <t xml:space="preserve">Сесія адміністратора: до «Logout» або 30 хв неактивності</t>
  </si>
  <si>
    <t xml:space="preserve">TC-049, TC-050</t>
  </si>
  <si>
    <t xml:space="preserve">Кейс із очікуванням 31 хв — планувати паралельно з іншими кейсами.</t>
  </si>
  <si>
    <t xml:space="preserve">Шапка: назва, меню, видима при прокручуванні</t>
  </si>
  <si>
    <t xml:space="preserve">Формат дати мм/дд/рррр; календар</t>
  </si>
  <si>
    <t xml:space="preserve">TC-007, TC-051</t>
  </si>
  <si>
    <t xml:space="preserve">Формат дати потребує підтвердження замовником (питання 5). Формат РРРР-ММ-ДД у параметрах URL перевіряє TC-007.</t>
  </si>
  <si>
    <t xml:space="preserve">Картка номера</t>
  </si>
  <si>
    <t xml:space="preserve">Форма бронювання: поля-підказки, «Reserve Now», «Cancel»</t>
  </si>
  <si>
    <t xml:space="preserve">TC-016, TC-017, TC-018</t>
  </si>
  <si>
    <t xml:space="preserve">Price Summary: рядки і «Total» напівжирним</t>
  </si>
  <si>
    <t xml:space="preserve">GUI-60</t>
  </si>
  <si>
    <t xml:space="preserve">Помилки: поле і причина, ≤ 100 символів, над кнопкою</t>
  </si>
  <si>
    <t xml:space="preserve">TC-019, TC-020, TC-023</t>
  </si>
  <si>
    <t xml:space="preserve">Сторінка входу: елементи, помилкові поля</t>
  </si>
  <si>
    <t xml:space="preserve">TC-038, TC-039, TC-040</t>
  </si>
  <si>
    <t xml:space="preserve">Рядок про «Logout» у шапці сторінки входу залишено за текстом SRS 1.1; окремий кейс (лише ця перевірка), щоб failed не впливав на інші кейси GUI-70.</t>
  </si>
  <si>
    <t xml:space="preserve">GUI-80</t>
  </si>
  <si>
    <t xml:space="preserve">«Reserve Now» завжди активна; помилки списком</t>
  </si>
  <si>
    <t xml:space="preserve">Форма «Send Us a Message»: поля, подяка</t>
  </si>
  <si>
    <t xml:space="preserve">TC-021, TC-022</t>
  </si>
  <si>
    <t xml:space="preserve">Chrome/Firefox, 375 і 1366 px</t>
  </si>
  <si>
    <t xml:space="preserve">TC-052, TC-053</t>
  </si>
  <si>
    <t xml:space="preserve">BL-10</t>
  </si>
  <si>
    <t xml:space="preserve">validate: порядок дат, 1–30 ночей, не в минулому, гості, INVALID_DATE_FORMAT</t>
  </si>
  <si>
    <t xml:space="preserve">Не покрито у спринті 3: правило реалізоване лише в модулі, demo не запитує гостей і не застосовує розд. 5 (SRS 2.3). Юніт-тести спринта 4; граничні значення підготовлено на аркуші «Test data».</t>
  </si>
  <si>
    <t xml:space="preserve">BL-20</t>
  </si>
  <si>
    <t xml:space="preserve">Формат email і телефону (+380, 9 цифр)</t>
  </si>
  <si>
    <t xml:space="preserve">Не покрито у спринті 3: правило лише в модулі (SRS 2.3); юніт-тести спринта 4. Частково видно через перевірку Email у формі бронювання (див. TC із F-60).</t>
  </si>
  <si>
    <t xml:space="preserve">BL-30</t>
  </si>
  <si>
    <t xml:space="preserve">Надбавка 15 % за ночі п'ятниці і суботи</t>
  </si>
  <si>
    <t xml:space="preserve">Не покрито у спринті 3: правило лише в модулі (SRS 2.3); demo рахує вартість за фіксованим тарифом. Юніт-тести спринта 4.</t>
  </si>
  <si>
    <t xml:space="preserve">BL-40</t>
  </si>
  <si>
    <t xml:space="preserve">Сезонний коефіцієнт</t>
  </si>
  <si>
    <t xml:space="preserve">Не покрито у спринті 3: правило лише в модулі (SRS 2.3). Юніт-тести спринта 4.</t>
  </si>
  <si>
    <t xml:space="preserve">BL-50</t>
  </si>
  <si>
    <t xml:space="preserve">Вартість ночі, total, знижка 10 % від 7 ночей</t>
  </si>
  <si>
    <t xml:space="preserve">Не покрито у спринті 3: правило лише в модулі (SRS 2.3); у demo Total = добуток + 25 + 15 за F-50 (див. кейси F-50). Юніт-тести спринта 4.</t>
  </si>
  <si>
    <t xml:space="preserve">BL-60</t>
  </si>
  <si>
    <t xml:space="preserve">Плата за скасування 0 / 50 / 100 %</t>
  </si>
  <si>
    <t xml:space="preserve">BL-70</t>
  </si>
  <si>
    <t xml:space="preserve">Перетин інтервалів, book()</t>
  </si>
  <si>
    <t xml:space="preserve">TC-009, TC-010</t>
  </si>
  <si>
    <t xml:space="preserve">Покрито через інтерфейс: зайнятість номера і напіввідкритий інтервал; метод book() — юніт-тести спринта 4.</t>
  </si>
  <si>
    <t xml:space="preserve">BL-80</t>
  </si>
  <si>
    <t xml:space="preserve">Вилучено у SRS 1.1 (дублює BL-60)</t>
  </si>
  <si>
    <t xml:space="preserve">Вимогу вилучено (дефект № 19) — кейсів немає.</t>
  </si>
  <si>
    <t xml:space="preserve">Сторінка ≤ 3 с на 10 Мбіт/с; REST ≤ 500 мс при 10 клієнтах</t>
  </si>
  <si>
    <t xml:space="preserve">Покрито частину «сторінка ≤ 3 с на 10 Мбіт/с». Частина «REST ≤ 500 мс при 10 клієнтах» — навантаження, лише на локальному стенді (план, тип 12; етика demo 5.4), не виконується у спринті 3.</t>
  </si>
  <si>
    <t xml:space="preserve">P-20</t>
  </si>
  <si>
    <t xml:space="preserve">50 користувачів: p95 ≤ 2 с, 5xx &lt; 1 %</t>
  </si>
  <si>
    <t xml:space="preserve">Не покрито: навантажувальна перевірка заборонена на публічному demo (етика 5.4); виконується лише на локальному стенді за планом (тип 12).</t>
  </si>
  <si>
    <t xml:space="preserve">HTTPS; адмінпанель недоступна без сесії</t>
  </si>
  <si>
    <t xml:space="preserve">TC-041, TC-042</t>
  </si>
  <si>
    <t xml:space="preserve">S-20</t>
  </si>
  <si>
    <t xml:space="preserve">Сесія завершується через 30 хв неактивності</t>
  </si>
  <si>
    <t xml:space="preserve">Кейс виконується пасивним очікуванням 31 хв — планувати паралельно з іншими кейсами.</t>
  </si>
  <si>
    <t xml:space="preserve">U-10</t>
  </si>
  <si>
    <t xml:space="preserve">Новий гість бронює ≤ 2 хв, ≤ 1 помилки, 4 з 5</t>
  </si>
  <si>
    <t xml:space="preserve">Не покрито кейсом: потребує 5 учасників поза командою і вимірювання часу; виноситься на окрему сесію юзабіліті (план, тип 3).</t>
  </si>
  <si>
    <t xml:space="preserve">Єдине оформлення форм</t>
  </si>
  <si>
    <t xml:space="preserve">D-10</t>
  </si>
  <si>
    <t xml:space="preserve">README модуля, mvn test, javadoc</t>
  </si>
  <si>
    <t xml:space="preserve">Не покрито у спринті 3: README модуля з'явиться у спринті 4 (модуль v1); перевірка оглядом.</t>
  </si>
  <si>
    <t xml:space="preserve">D-20</t>
  </si>
  <si>
    <t xml:space="preserve">Довідка адміністратора docs/admin-help.md</t>
  </si>
  <si>
    <t xml:space="preserve">Не покрито у спринті 3: перевіряється оглядом файлу docs/admin-help.md (документ, а не demo-застосунок).</t>
  </si>
  <si>
    <t xml:space="preserve">Статистика</t>
  </si>
  <si>
    <t xml:space="preserve">Тест-кейсів усього (норматив ≥ 15)</t>
  </si>
  <si>
    <t xml:space="preserve">з них позитивних</t>
  </si>
  <si>
    <t xml:space="preserve">з них негативних</t>
  </si>
  <si>
    <t xml:space="preserve">Вимог у SRS 1.1 (без вилученої BL-80)</t>
  </si>
  <si>
    <t xml:space="preserve">Вимог із кейсами</t>
  </si>
  <si>
    <t xml:space="preserve">Вимог без кейсів (з причиною в примітці)</t>
  </si>
  <si>
    <t xml:space="preserve">F- і GUI-вимог усього</t>
  </si>
  <si>
    <t xml:space="preserve">F- і GUI-вимог із кейсами</t>
  </si>
  <si>
    <t xml:space="preserve">Тестові дані: класи еквівалентності і граничні значення</t>
  </si>
  <si>
    <t xml:space="preserve">Дати: «сьогодні + N» — дата виконання плюс N днів, формат мм/дд/рррр; для кожного бронювання — власне віконце дат (+60, +70, +80 …), щоб кейси не заважали одне одному. Довгі рядки: у консолі DevTools виконати copy('M'.repeat(2000)) і вставити (Ctrl+V). Усі записи — з префіксом T3-, лише вигадані дані. Повторний прогін кейсів, що створюють дані (TC-009, TC-010, TC-016, TC-021, TC-025 та ін.): ті самі відносні дати «сьогодні + N»; якщо номер уже зайнятий, зсунути дати на +100 днів і зазначити це в журналі виконання. TC-050 триває 31 хв — запускати першим і паралельно з іншими кейсами.</t>
  </si>
  <si>
    <t xml:space="preserve">Вимога / поле</t>
  </si>
  <si>
    <t xml:space="preserve">Правило</t>
  </si>
  <si>
    <t xml:space="preserve">Клас</t>
  </si>
  <si>
    <t xml:space="preserve">Значення</t>
  </si>
  <si>
    <t xml:space="preserve">Чому обране</t>
  </si>
  <si>
    <t xml:space="preserve">TC</t>
  </si>
  <si>
    <t xml:space="preserve">F-70 / Subject</t>
  </si>
  <si>
    <t xml:space="preserve">довжина 5–100</t>
  </si>
  <si>
    <t xml:space="preserve">недійсний: &lt; 5 або &gt; 100</t>
  </si>
  <si>
    <t xml:space="preserve">4 символи: «T3-A»</t>
  </si>
  <si>
    <t xml:space="preserve">граничне (a−1): нижня межа 5</t>
  </si>
  <si>
    <t xml:space="preserve">відхилено, помилка про Subject</t>
  </si>
  <si>
    <t xml:space="preserve">дійсний 5–100</t>
  </si>
  <si>
    <t xml:space="preserve">5 символів: «T3-AB»</t>
  </si>
  <si>
    <t xml:space="preserve">граничне (a): нижня межа 5</t>
  </si>
  <si>
    <t xml:space="preserve">прийнято</t>
  </si>
  <si>
    <t xml:space="preserve">100 символів: рядок «T3-» + 97 символів «A» (разом 100)</t>
  </si>
  <si>
    <t xml:space="preserve">граничне (b): верхня межа 100</t>
  </si>
  <si>
    <t xml:space="preserve">101 символ: рядок «T3-» + 98 символів «A» (разом 101)</t>
  </si>
  <si>
    <t xml:space="preserve">граничне (b+1): верхня межа 100</t>
  </si>
  <si>
    <t xml:space="preserve">F-70 / Message</t>
  </si>
  <si>
    <t xml:space="preserve">довжина 20–2000</t>
  </si>
  <si>
    <t xml:space="preserve">недійсний: &lt; 20 або &gt; 2000</t>
  </si>
  <si>
    <t xml:space="preserve">19 символів «M»</t>
  </si>
  <si>
    <t xml:space="preserve">граничне (a−1): нижня межа 20</t>
  </si>
  <si>
    <t xml:space="preserve">відхилено, помилка про Message</t>
  </si>
  <si>
    <t xml:space="preserve">дійсний 20–2000</t>
  </si>
  <si>
    <t xml:space="preserve">20 символів «M»</t>
  </si>
  <si>
    <t xml:space="preserve">граничне (a): нижня межа 20</t>
  </si>
  <si>
    <t xml:space="preserve">2000 символів «M»</t>
  </si>
  <si>
    <t xml:space="preserve">граничне (b): верхня межа 2000</t>
  </si>
  <si>
    <t xml:space="preserve">2001 символ «M»</t>
  </si>
  <si>
    <t xml:space="preserve">граничне (b+1): верхня межа 2000</t>
  </si>
  <si>
    <t xml:space="preserve">F-70 / Phone</t>
  </si>
  <si>
    <t xml:space="preserve">довжина 11–21</t>
  </si>
  <si>
    <t xml:space="preserve">недійсний: &lt; 11 або &gt; 21</t>
  </si>
  <si>
    <t xml:space="preserve">10 цифр: 3456789012</t>
  </si>
  <si>
    <t xml:space="preserve">граничне (a−1): нижня межа 11</t>
  </si>
  <si>
    <t xml:space="preserve">відхилено, помилка про Phone</t>
  </si>
  <si>
    <t xml:space="preserve">дійсний 11–21</t>
  </si>
  <si>
    <t xml:space="preserve">11 цифр: 34567890123</t>
  </si>
  <si>
    <t xml:space="preserve">граничне (a): нижня межа 11</t>
  </si>
  <si>
    <t xml:space="preserve">21 цифра: 345678901234567890123</t>
  </si>
  <si>
    <t xml:space="preserve">граничне (b): верхня межа 21</t>
  </si>
  <si>
    <t xml:space="preserve">22 цифри: 3456789012345678901234</t>
  </si>
  <si>
    <t xml:space="preserve">граничне (b+1): верхня межа 21</t>
  </si>
  <si>
    <t xml:space="preserve">обов'язкове поле</t>
  </si>
  <si>
    <t xml:space="preserve">недійсний: порожнє</t>
  </si>
  <si>
    <t xml:space="preserve">(порожньо)</t>
  </si>
  <si>
    <t xml:space="preserve">клас порожнього обов'язкового поля</t>
  </si>
  <si>
    <t xml:space="preserve">F-50 / кількість ночей N</t>
  </si>
  <si>
    <t xml:space="preserve">Total = N × T + 40</t>
  </si>
  <si>
    <t xml:space="preserve">дійсний: N ≥ 1</t>
  </si>
  <si>
    <t xml:space="preserve">N = 1</t>
  </si>
  <si>
    <t xml:space="preserve">мінімальна кількість ночей (BL-10: від 1)</t>
  </si>
  <si>
    <t xml:space="preserve">Total = T + 40</t>
  </si>
  <si>
    <t xml:space="preserve">N = 3</t>
  </si>
  <si>
    <t xml:space="preserve">типовий представник класу</t>
  </si>
  <si>
    <t xml:space="preserve">Total = 3T + 40</t>
  </si>
  <si>
    <t xml:space="preserve">BL-10 / ночей (юніт-тести спринта 4, не кейси спринта 3)</t>
  </si>
  <si>
    <t xml:space="preserve">1–30 ночей</t>
  </si>
  <si>
    <t xml:space="preserve">недійсний / дійсний / недійсний</t>
  </si>
  <si>
    <t xml:space="preserve">0, 1, 2, 29, 30, 31</t>
  </si>
  <si>
    <t xml:space="preserve">граничні a−1, a, a+1, b−1, b, b+1</t>
  </si>
  <si>
    <t xml:space="preserve">0 і 31 → INVALID_NIGHTS; решта допустимі</t>
  </si>
  <si>
    <t xml:space="preserve">BL-10 / гості при capacity = 2 (юніт-тести спринта 4)</t>
  </si>
  <si>
    <t xml:space="preserve">1..capacity</t>
  </si>
  <si>
    <t xml:space="preserve">0, 1, 2, 3</t>
  </si>
  <si>
    <t xml:space="preserve">граничні a−1, a, b, b+1</t>
  </si>
  <si>
    <t xml:space="preserve">0 і 3 → INVALID_GUESTS</t>
  </si>
  <si>
    <t xml:space="preserve">Генерація довгих рядків (консоль DevTools: F12 → Console; copy() кладе результат у буфер обміну)</t>
  </si>
  <si>
    <t xml:space="preserve">Для кейсу</t>
  </si>
  <si>
    <t xml:space="preserve">Команда</t>
  </si>
  <si>
    <t xml:space="preserve">Результат</t>
  </si>
  <si>
    <t xml:space="preserve">TC-026 (Subject, 100)</t>
  </si>
  <si>
    <t xml:space="preserve">copy('T3-'+'A'.repeat(97))</t>
  </si>
  <si>
    <t xml:space="preserve">рядок довжиною 100</t>
  </si>
  <si>
    <t xml:space="preserve">TC-027 (Subject, 101)</t>
  </si>
  <si>
    <t xml:space="preserve">copy('T3-'+'A'.repeat(98))</t>
  </si>
  <si>
    <t xml:space="preserve">рядок довжиною 101</t>
  </si>
  <si>
    <t xml:space="preserve">TC-028 (Message, 19)</t>
  </si>
  <si>
    <t xml:space="preserve">copy('M'.repeat(19))</t>
  </si>
  <si>
    <t xml:space="preserve">рядок довжиною 19</t>
  </si>
  <si>
    <t xml:space="preserve">TC-029 (Message, 20)</t>
  </si>
  <si>
    <t xml:space="preserve">copy('M'.repeat(20))</t>
  </si>
  <si>
    <t xml:space="preserve">рядок довжиною 20</t>
  </si>
  <si>
    <t xml:space="preserve">TC-030 (Message, 2000)</t>
  </si>
  <si>
    <t xml:space="preserve">copy('M'.repeat(2000))</t>
  </si>
  <si>
    <t xml:space="preserve">рядок довжиною 2000</t>
  </si>
  <si>
    <t xml:space="preserve">TC-031 (Message, 2001)</t>
  </si>
  <si>
    <t xml:space="preserve">copy('M'.repeat(2001))</t>
  </si>
  <si>
    <t xml:space="preserve">рядок довжиною 2001</t>
  </si>
  <si>
    <t xml:space="preserve">Рецензування тест-кейсів за чек-листом 5.3 (8 пунктів). Номер «п.N» у зауваженнях — пункт чек-листа.</t>
  </si>
  <si>
    <t xml:space="preserve">TC-ID</t>
  </si>
  <si>
    <t xml:space="preserve">Дата</t>
  </si>
  <si>
    <t xml:space="preserve">Зауваження</t>
  </si>
  <si>
    <t xml:space="preserve">Виправлено (так/ні)</t>
  </si>
  <si>
    <t xml:space="preserve">Що змінено (автор)</t>
  </si>
  <si>
    <t xml:space="preserve">Зауважень немає (8/8 «так»).</t>
  </si>
  <si>
    <t xml:space="preserve">п.2: GUI-10 вимагає шапку на кожній сторінці гостьової частини, а кейс перевіряє лише головну. Додати крок із перевіркою шапки на сторінці номера /reservation/{id} або обґрунтувати в Coverage.</t>
  </si>
  <si>
    <t xml:space="preserve">так</t>
  </si>
  <si>
    <t xml:space="preserve">Додано кроки 5–11: шапку перевіряємо і на сторінці номера /reservation/{id}; заголовок оновлено.</t>
  </si>
  <si>
    <t xml:space="preserve">п.6: перевіряється лише перша картка, тоді як TC-005 перевіряє кожну. Уніфікувати: або «кожна картка», або явно «перша картка» в заголовку.</t>
  </si>
  <si>
    <t xml:space="preserve">Заголовок і кроки уніфіковано: «кожна картка» (як у TC-005).</t>
  </si>
  <si>
    <t xml:space="preserve">п.6: очікуваний результат кроку 4 «Перелік номерів оновлено для вибраного інтервалу» неперевірюваний — уточнити так само, як у TC-008.</t>
  </si>
  <si>
    <t xml:space="preserve">Крок 4: очікуваний результат — новий запит у Network із checkin і checkout (однакова заміна для всіх кейсів з віджетом). GUI-20 додано другою вимогою (формат у URL), відображено в Coverage.</t>
  </si>
  <si>
    <t xml:space="preserve">п.6: очікуваний результат кроку 5 («щонайменше один номер») не перевіряє суть F-30 — що перелік оновився саме під інтервал. Вказати перевірювану ознаку (наприклад, кількість карток до/після або параметри запиту checkin/checkout у Network). Те саме формулювання «Перелік номерів оновлено для вибраного інтервалу» в TC-007, 009, 010, 012–020, 054 — уточнити одним способом для всіх.</t>
  </si>
  <si>
    <t xml:space="preserve">Додано підрахунок карток до і після (K0, K1) і перевірку запиту; очікується K1 не більше за K0.</t>
  </si>
  <si>
    <t xml:space="preserve">п.4: передумова «на дати +60…+63 інших бронювань немає» неперевірювана для виконавця без входу в адмінпанель — переформулювати («якщо перший номер недоступний, зсунути всі дати на +100»). п.5: крок 5 містить дві дії («запам’ятати» і «натиснути») — розділити. п.8: три вимоги (F-40, F-30, BL-70) — допустимо, бо перевіряється одна поведінка; залишити, але в Coverage основна — F-40.</t>
  </si>
  <si>
    <t xml:space="preserve">Передумову переформульовано (зсув дат на +100); крок 5 розділено на два; у Coverage основна вимога F-40 (примітка).</t>
  </si>
  <si>
    <t xml:space="preserve">п.4: та сама неперевірювана передумова, що в TC-009. п.5: кроки 5 і 16 містять по дві дії — розділити.</t>
  </si>
  <si>
    <t xml:space="preserve">Передумова як у TC-009; кроки 5 і 16 розділено.</t>
  </si>
  <si>
    <t xml:space="preserve">п.4: передумова каже, що DevTools уже відкрито, а крок 2 відкриває їх знову — прибрати з однієї з частин. п.6: не вказано, який саме запит у Network вимірювати (назва/шлях запиту за номерами) — інакше результат залежить від виконавця.</t>
  </si>
  <si>
    <t xml:space="preserve">Прибрано дублювання DevTools; вказано запит для виміру (фільтр checkin, колонка Time).</t>
  </si>
  <si>
    <t xml:space="preserve">п.6: «для пристосованого номера — позначка Accessible» неперевірювана, якщо перший номер не пристосований. Вказати конкретний номер або розписати обидва варіанти.</t>
  </si>
  <si>
    <t xml:space="preserve">Розписано обидва варіанти для «Accessible» (є / немає) з відсиланням до адмінпанелі.</t>
  </si>
  <si>
    <t xml:space="preserve">п.5: крок 6 сформульовано неоднозначно («з картки номера на сторінці номера») — вказати, де саме на сторінці взяти «£T per night».</t>
  </si>
  <si>
    <t xml:space="preserve">Тариф T береться з картки номера в переліку (до «Book now»).</t>
  </si>
  <si>
    <t xml:space="preserve">Крок 4 — як у TC-007; тариф T береться з картки номера (як у TC-013).</t>
  </si>
  <si>
    <t xml:space="preserve">п.6: очікуваний результат 7 стверджує, що «решта рядків — звичайний», але кроки перевіряють font-weight лише для «Total». Додати крок або прибрати твердження.</t>
  </si>
  <si>
    <t xml:space="preserve">Прибрано твердження про «решту рядків».</t>
  </si>
  <si>
    <t xml:space="preserve">Крок 4: очікуваний результат — запит у Network (як у TC-007).</t>
  </si>
  <si>
    <t xml:space="preserve">п.6: очікуваний результат 13 посилається на «номер, відкритий на першому кроці», але номер відкривається на кроці 5 і ніде не запам’ятовується. Додати крок «записати тип і ціну номера» і виправити посилання.</t>
  </si>
  <si>
    <t xml:space="preserve">Додано крок «записати тип, опис і ціну», посилання виправлено; крок 4 — як у TC-007.</t>
  </si>
  <si>
    <t xml:space="preserve">Граматику виправлено (загальне зауваження 1); зміст не змінено.</t>
  </si>
  <si>
    <t xml:space="preserve">п.5/п.7: рядок із 100 символів виконавець набирає вручну — ризик помилки. Додати в «Test data» готовий рядок або спосіб генерації (наприклад, у консолі DevTools: "T3-"+"A".repeat(97)). Те саме для TC-027, TC-028–TC-031.</t>
  </si>
  <si>
    <t xml:space="preserve">Додано кроки генерації рядка в консолі DevTools (copy(...)) і вставки; команди — в аркуші «Test data».</t>
  </si>
  <si>
    <t xml:space="preserve">Див. TC-026: готовий рядок/спосіб генерації 101 символу.</t>
  </si>
  <si>
    <t xml:space="preserve">Як TC-026: команда генерації 101 символу.</t>
  </si>
  <si>
    <t xml:space="preserve">Див. TC-026: готовий рядок 19 символів «M».</t>
  </si>
  <si>
    <t xml:space="preserve">Як TC-026: команда генерації 19 символів «M».</t>
  </si>
  <si>
    <t xml:space="preserve">Див. TC-026: готовий рядок 20 символів «M».</t>
  </si>
  <si>
    <t xml:space="preserve">Як TC-026: команда генерації 20 символів «M».</t>
  </si>
  <si>
    <t xml:space="preserve">Див. TC-026: рядок 2000 символів вручну не набрати — обов’язково вказати спосіб генерації.</t>
  </si>
  <si>
    <t xml:space="preserve">Як TC-026: команда генерації 2000 символів «M».</t>
  </si>
  <si>
    <t xml:space="preserve">Див. TC-030: спосіб генерації 2001 символу.</t>
  </si>
  <si>
    <t xml:space="preserve">Як TC-026: команда генерації 2001 символу «M».</t>
  </si>
  <si>
    <t xml:space="preserve">п.4/п.6: підказку «Password» неможливо перевірити після введення «abc» (крок 4). Спочатку переглянути підказку порожнього поля, потім вводити значення — розділити на два кроки.</t>
  </si>
  <si>
    <t xml:space="preserve">Підказку порожнього поля Password перевіряємо окремим кроком до введення «abc».</t>
  </si>
  <si>
    <t xml:space="preserve">п.6: «поля позначено як помилкові» — вказати, як саме це видно (червона рамка поля / текст помилки), інакше passed/failed залежить від виконавця.</t>
  </si>
  <si>
    <t xml:space="preserve">Вказано ознаку: червона рамка полів Username і Password.</t>
  </si>
  <si>
    <t xml:space="preserve">п.7: заголовок «Усі сторінки і запит входу працюють через HTTPS», а перевіряється лише сторінка /admin і запит входу. Звузити заголовок або додати головну сторінку.</t>
  </si>
  <si>
    <t xml:space="preserve">Заголовок звужено: сторінка входу /admin і запит входу.</t>
  </si>
  <si>
    <t xml:space="preserve">п.3: кейс не завершується виходом — вкладка адмінпанелі лишається з активною сесією (крок 13 закриває лише нову вкладку). Додати «Logout» і закриття. п.6: на demo вже є стандартний номер Double за £150 — очікуваний результат 12 не відрізнить створений номер від наявного. Взяти унікальну ціну (наприклад, 137). п.5: крок 12 містить дві дії — розділити. Постумову «видалити T3-101» краще оформити кроком, щоб не засмічувати спільне demo.</t>
  </si>
  <si>
    <t xml:space="preserve">Додано «Logout» і закриття; унікальна ціна 137; крок 12 розділено; видалення T3-101 оформлено кроком прибирання.</t>
  </si>
  <si>
    <t xml:space="preserve">п.3: як і TC-044, немає «Logout» наприкінці — додати. п.5: крок 10 містить дві дії — розділити.</t>
  </si>
  <si>
    <t xml:space="preserve">Додано «Logout»; унікальна ціна 138; крок 10 розділено.</t>
  </si>
  <si>
    <t xml:space="preserve">п.4: кроки 6–7 «вибрати період у минулому/майбутньому» без конкретних дат — вказати, наприклад, «сьогодні −30 … −25» і «сьогодні +30 … +35».</t>
  </si>
  <si>
    <t xml:space="preserve">Вказано періоди: сьогодні − 30 … − 25 і сьогодні + 30 … + 35.</t>
  </si>
  <si>
    <t xml:space="preserve">п.7/п.2: заголовок і GUI-20 стосуються обох полів (Check In і Check Out), а кроки перевіряють лише Check In. Додати кроки для Check Out (і, за GUI-20, формат РРРР-ММ-ДД у URL — або послатися на TC-007).</t>
  </si>
  <si>
    <t xml:space="preserve">Додано кроки для Check Out (27-ме число); формат РРРР-ММ-ДД у URL — у TC-007 (GUI-20 додано в Coverage).</t>
  </si>
  <si>
    <t xml:space="preserve">Зауваження до журналу: кейс виконується у двох браузерах — у журналі буде два рядки виконання (Chrome і Firefox). Узгодити з інженером з тестування.</t>
  </si>
  <si>
    <t xml:space="preserve">У передумовах зафіксовано два рядки журналу (Chrome і Firefox); потрібно узгодити з інженером з тестування.</t>
  </si>
  <si>
    <t xml:space="preserve">Як TC-052: два рядки в журналі (Chrome і Firefox).</t>
  </si>
  <si>
    <t xml:space="preserve">Як TC-052.</t>
  </si>
  <si>
    <t xml:space="preserve">п.6: показник Load у SPA може спрацювати до появи номерів (номери підвантажуються окремим запитом). Уточнити, що саме вимірюється: час до появи розділу «Our Rooms» (наприклад, за Performance-записом) або Load + запит номерів.</t>
  </si>
  <si>
    <t xml:space="preserve">Уточнено вимір: Finish (завершення останнього запиту, у т. ч. зі списком номерів) не більше 3 с, картки «Our Rooms» відображені.</t>
  </si>
  <si>
    <t xml:space="preserve">Загальні зауваження</t>
  </si>
  <si>
    <t xml:space="preserve">1. Граматика числівників у заголовках і кроках: «4 символів» → «4 символи», «101 символів» → «101 символ», «21 цифр» → «21 цифра», «+ 42 днів» → «+ 42 дні». Перевірити по всьому аркушу.</t>
  </si>
  <si>
    <t xml:space="preserve">Граматику числівників виправлено в заголовках, кроках, очікуваних результатах і аркуші «Test data» (4 символи, 101 символ, 21 цифра, + 42 дні).</t>
  </si>
  <si>
    <t xml:space="preserve">2. Формулювання «Перелік номерів оновлено для вибраного інтервалу» повторюється в багатьох кейсах і не є перевірюваним — див. TC-008.</t>
  </si>
  <si>
    <t xml:space="preserve">Усі кроки «Check Availability» тепер мають однаковий перевірюваний результат: новий запит у Network із checkin і checkout; доданий фільтр у передумови.</t>
  </si>
  <si>
    <t xml:space="preserve">3. Кейси TC-009, TC-010, TC-016, TC-021, TC-025… залишають дані на публічному demo. Дані вигадані (етика 5.4 дотримана); у журналі виконання варто зазначати, що повторний прогін іде з тими самими відносними датами «сьогодні + N».</t>
  </si>
  <si>
    <t xml:space="preserve">Прийнято: у «Test data» додано правило повторного прогону (ті самі відносні дати; зсув на +100 днів, якщо номер зайнятий) і вимогу позначати це в журналі.</t>
  </si>
  <si>
    <t xml:space="preserve">4. TC-050 триває 31 хв — запускати першим і паралельно з іншими кейсами.</t>
  </si>
  <si>
    <t xml:space="preserve">Прийнято: застереження про запуск TC-050 першим і паралельно додано в «Test data».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</si>
</sst>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38"/>
    <col collapsed="false" customWidth="true" hidden="false" outlineLevel="0" max="6" min="5" style="1" width="70"/>
    <col collapsed="false" customWidth="true" hidden="false" outlineLevel="0" max="7" min="7" style="1" width="32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2" min="11" style="1" width="13"/>
    <col collapsed="false" customWidth="true" hidden="false" outlineLevel="0" max="13" min="13" style="1" width="11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57" hidden="false" customHeight="true" outlineLevel="0" collapsed="false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</row>
    <row r="6" customFormat="false" ht="57" hidden="false" customHeight="true" outlineLevel="0" collapsed="false">
      <c r="A6" s="5" t="s">
        <v>28</v>
      </c>
      <c r="B6" s="6" t="s">
        <v>16</v>
      </c>
      <c r="C6" s="6" t="s">
        <v>29</v>
      </c>
      <c r="D6" s="6" t="s">
        <v>18</v>
      </c>
      <c r="E6" s="6" t="s">
        <v>30</v>
      </c>
      <c r="F6" s="6" t="s">
        <v>31</v>
      </c>
      <c r="G6" s="6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5" t="s">
        <v>27</v>
      </c>
    </row>
    <row r="7" customFormat="false" ht="57" hidden="false" customHeight="true" outlineLevel="0" collapsed="false">
      <c r="A7" s="5" t="s">
        <v>32</v>
      </c>
      <c r="B7" s="6" t="s">
        <v>16</v>
      </c>
      <c r="C7" s="6" t="s">
        <v>33</v>
      </c>
      <c r="D7" s="6" t="s">
        <v>18</v>
      </c>
      <c r="E7" s="6" t="s">
        <v>34</v>
      </c>
      <c r="F7" s="6" t="s">
        <v>35</v>
      </c>
      <c r="G7" s="6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27</v>
      </c>
    </row>
    <row r="8" customFormat="false" ht="79.5" hidden="false" customHeight="true" outlineLevel="0" collapsed="false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/>
      <c r="M8" s="5" t="s">
        <v>42</v>
      </c>
    </row>
    <row r="9" customFormat="false" ht="79.5" hidden="false" customHeight="true" outlineLevel="0" collapsed="false">
      <c r="A9" s="5" t="s">
        <v>43</v>
      </c>
      <c r="B9" s="6" t="s">
        <v>44</v>
      </c>
      <c r="C9" s="6" t="s">
        <v>45</v>
      </c>
      <c r="D9" s="6" t="s">
        <v>18</v>
      </c>
      <c r="E9" s="6" t="s">
        <v>46</v>
      </c>
      <c r="F9" s="6" t="s">
        <v>47</v>
      </c>
      <c r="G9" s="6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</row>
    <row r="10" customFormat="false" ht="79.5" hidden="false" customHeight="true" outlineLevel="0" collapsed="false">
      <c r="A10" s="5" t="s">
        <v>48</v>
      </c>
      <c r="B10" s="6" t="s">
        <v>49</v>
      </c>
      <c r="C10" s="6" t="s">
        <v>50</v>
      </c>
      <c r="D10" s="6" t="s">
        <v>18</v>
      </c>
      <c r="E10" s="6" t="s">
        <v>51</v>
      </c>
      <c r="F10" s="6" t="s">
        <v>52</v>
      </c>
      <c r="G10" s="6" t="s">
        <v>21</v>
      </c>
      <c r="H10" s="5" t="s">
        <v>53</v>
      </c>
      <c r="I10" s="5" t="s">
        <v>23</v>
      </c>
      <c r="J10" s="5" t="s">
        <v>24</v>
      </c>
      <c r="K10" s="5" t="s">
        <v>25</v>
      </c>
      <c r="L10" s="5"/>
      <c r="M10" s="5" t="s">
        <v>42</v>
      </c>
    </row>
    <row r="11" customFormat="false" ht="102" hidden="false" customHeight="true" outlineLevel="0" collapsed="false">
      <c r="A11" s="5" t="s">
        <v>54</v>
      </c>
      <c r="B11" s="6" t="s">
        <v>55</v>
      </c>
      <c r="C11" s="6" t="s">
        <v>56</v>
      </c>
      <c r="D11" s="6" t="s">
        <v>39</v>
      </c>
      <c r="E11" s="6" t="s">
        <v>57</v>
      </c>
      <c r="F11" s="6" t="s">
        <v>58</v>
      </c>
      <c r="G11" s="6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5"/>
      <c r="M11" s="5" t="s">
        <v>42</v>
      </c>
    </row>
    <row r="12" customFormat="false" ht="90.75" hidden="false" customHeight="true" outlineLevel="0" collapsed="false">
      <c r="A12" s="5" t="s">
        <v>59</v>
      </c>
      <c r="B12" s="6" t="s">
        <v>60</v>
      </c>
      <c r="C12" s="6" t="s">
        <v>61</v>
      </c>
      <c r="D12" s="6" t="s">
        <v>39</v>
      </c>
      <c r="E12" s="6" t="s">
        <v>62</v>
      </c>
      <c r="F12" s="6" t="s">
        <v>63</v>
      </c>
      <c r="G12" s="6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/>
      <c r="M12" s="5" t="s">
        <v>42</v>
      </c>
    </row>
    <row r="13" customFormat="false" ht="258.75" hidden="false" customHeight="true" outlineLevel="0" collapsed="false">
      <c r="A13" s="5" t="s">
        <v>64</v>
      </c>
      <c r="B13" s="6" t="s">
        <v>65</v>
      </c>
      <c r="C13" s="6" t="s">
        <v>66</v>
      </c>
      <c r="D13" s="6" t="s">
        <v>67</v>
      </c>
      <c r="E13" s="6" t="s">
        <v>68</v>
      </c>
      <c r="F13" s="6" t="s">
        <v>69</v>
      </c>
      <c r="G13" s="6" t="s">
        <v>70</v>
      </c>
      <c r="H13" s="5" t="s">
        <v>53</v>
      </c>
      <c r="I13" s="5" t="s">
        <v>71</v>
      </c>
      <c r="J13" s="5" t="s">
        <v>24</v>
      </c>
      <c r="K13" s="5" t="s">
        <v>25</v>
      </c>
      <c r="L13" s="5"/>
      <c r="M13" s="5" t="s">
        <v>42</v>
      </c>
    </row>
    <row r="14" customFormat="false" ht="325.5" hidden="false" customHeight="true" outlineLevel="0" collapsed="false">
      <c r="A14" s="5" t="s">
        <v>72</v>
      </c>
      <c r="B14" s="6" t="s">
        <v>73</v>
      </c>
      <c r="C14" s="6" t="s">
        <v>74</v>
      </c>
      <c r="D14" s="6" t="s">
        <v>67</v>
      </c>
      <c r="E14" s="6" t="s">
        <v>75</v>
      </c>
      <c r="F14" s="6" t="s">
        <v>76</v>
      </c>
      <c r="G14" s="6" t="s">
        <v>77</v>
      </c>
      <c r="H14" s="5" t="s">
        <v>22</v>
      </c>
      <c r="I14" s="5" t="s">
        <v>23</v>
      </c>
      <c r="J14" s="5" t="s">
        <v>24</v>
      </c>
      <c r="K14" s="5" t="s">
        <v>25</v>
      </c>
      <c r="L14" s="5"/>
      <c r="M14" s="5" t="s">
        <v>42</v>
      </c>
    </row>
    <row r="15" customFormat="false" ht="102" hidden="false" customHeight="true" outlineLevel="0" collapsed="false">
      <c r="A15" s="5" t="s">
        <v>78</v>
      </c>
      <c r="B15" s="6" t="s">
        <v>79</v>
      </c>
      <c r="C15" s="6" t="s">
        <v>80</v>
      </c>
      <c r="D15" s="6" t="s">
        <v>18</v>
      </c>
      <c r="E15" s="6" t="s">
        <v>81</v>
      </c>
      <c r="F15" s="6" t="s">
        <v>82</v>
      </c>
      <c r="G15" s="6" t="s">
        <v>21</v>
      </c>
      <c r="H15" s="5" t="s">
        <v>53</v>
      </c>
      <c r="I15" s="5" t="s">
        <v>23</v>
      </c>
      <c r="J15" s="5" t="s">
        <v>24</v>
      </c>
      <c r="K15" s="5" t="s">
        <v>25</v>
      </c>
      <c r="L15" s="5"/>
      <c r="M15" s="5" t="s">
        <v>42</v>
      </c>
    </row>
    <row r="16" customFormat="false" ht="135.75" hidden="false" customHeight="true" outlineLevel="0" collapsed="false">
      <c r="A16" s="5" t="s">
        <v>83</v>
      </c>
      <c r="B16" s="6" t="s">
        <v>84</v>
      </c>
      <c r="C16" s="6" t="s">
        <v>85</v>
      </c>
      <c r="D16" s="6" t="s">
        <v>39</v>
      </c>
      <c r="E16" s="6" t="s">
        <v>86</v>
      </c>
      <c r="F16" s="6" t="s">
        <v>87</v>
      </c>
      <c r="G16" s="6" t="s">
        <v>21</v>
      </c>
      <c r="H16" s="5" t="s">
        <v>22</v>
      </c>
      <c r="I16" s="5" t="s">
        <v>23</v>
      </c>
      <c r="J16" s="5" t="s">
        <v>24</v>
      </c>
      <c r="K16" s="5" t="s">
        <v>25</v>
      </c>
      <c r="L16" s="5"/>
      <c r="M16" s="5" t="s">
        <v>42</v>
      </c>
    </row>
    <row r="17" customFormat="false" ht="113.25" hidden="false" customHeight="true" outlineLevel="0" collapsed="false">
      <c r="A17" s="5" t="s">
        <v>88</v>
      </c>
      <c r="B17" s="6" t="s">
        <v>84</v>
      </c>
      <c r="C17" s="6" t="s">
        <v>89</v>
      </c>
      <c r="D17" s="6" t="s">
        <v>39</v>
      </c>
      <c r="E17" s="6" t="s">
        <v>90</v>
      </c>
      <c r="F17" s="6" t="s">
        <v>91</v>
      </c>
      <c r="G17" s="6" t="s">
        <v>21</v>
      </c>
      <c r="H17" s="5" t="s">
        <v>22</v>
      </c>
      <c r="I17" s="5" t="s">
        <v>23</v>
      </c>
      <c r="J17" s="5" t="s">
        <v>24</v>
      </c>
      <c r="K17" s="5" t="s">
        <v>25</v>
      </c>
      <c r="L17" s="5"/>
      <c r="M17" s="5" t="s">
        <v>42</v>
      </c>
    </row>
    <row r="18" customFormat="false" ht="113.25" hidden="false" customHeight="true" outlineLevel="0" collapsed="false">
      <c r="A18" s="5" t="s">
        <v>92</v>
      </c>
      <c r="B18" s="6" t="s">
        <v>84</v>
      </c>
      <c r="C18" s="6" t="s">
        <v>93</v>
      </c>
      <c r="D18" s="6" t="s">
        <v>39</v>
      </c>
      <c r="E18" s="6" t="s">
        <v>94</v>
      </c>
      <c r="F18" s="6" t="s">
        <v>95</v>
      </c>
      <c r="G18" s="6" t="s">
        <v>21</v>
      </c>
      <c r="H18" s="5" t="s">
        <v>22</v>
      </c>
      <c r="I18" s="5" t="s">
        <v>23</v>
      </c>
      <c r="J18" s="5" t="s">
        <v>24</v>
      </c>
      <c r="K18" s="5" t="s">
        <v>25</v>
      </c>
      <c r="L18" s="5"/>
      <c r="M18" s="5" t="s">
        <v>42</v>
      </c>
    </row>
    <row r="19" customFormat="false" ht="124.5" hidden="false" customHeight="true" outlineLevel="0" collapsed="false">
      <c r="A19" s="5" t="s">
        <v>96</v>
      </c>
      <c r="B19" s="6" t="s">
        <v>97</v>
      </c>
      <c r="C19" s="6" t="s">
        <v>98</v>
      </c>
      <c r="D19" s="6" t="s">
        <v>39</v>
      </c>
      <c r="E19" s="6" t="s">
        <v>99</v>
      </c>
      <c r="F19" s="6" t="s">
        <v>100</v>
      </c>
      <c r="G19" s="6" t="s">
        <v>21</v>
      </c>
      <c r="H19" s="5" t="s">
        <v>22</v>
      </c>
      <c r="I19" s="5" t="s">
        <v>23</v>
      </c>
      <c r="J19" s="5" t="s">
        <v>24</v>
      </c>
      <c r="K19" s="5" t="s">
        <v>25</v>
      </c>
      <c r="L19" s="5"/>
      <c r="M19" s="5" t="s">
        <v>42</v>
      </c>
    </row>
    <row r="20" customFormat="false" ht="157.5" hidden="false" customHeight="true" outlineLevel="0" collapsed="false">
      <c r="A20" s="5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5" t="s">
        <v>22</v>
      </c>
      <c r="I20" s="5" t="s">
        <v>23</v>
      </c>
      <c r="J20" s="5" t="s">
        <v>24</v>
      </c>
      <c r="K20" s="5" t="s">
        <v>25</v>
      </c>
      <c r="L20" s="5"/>
      <c r="M20" s="5" t="s">
        <v>42</v>
      </c>
    </row>
    <row r="21" customFormat="false" ht="124.5" hidden="false" customHeight="true" outlineLevel="0" collapsed="false">
      <c r="A21" s="5" t="s">
        <v>108</v>
      </c>
      <c r="B21" s="6" t="s">
        <v>109</v>
      </c>
      <c r="C21" s="6" t="s">
        <v>110</v>
      </c>
      <c r="D21" s="6" t="s">
        <v>39</v>
      </c>
      <c r="E21" s="6" t="s">
        <v>111</v>
      </c>
      <c r="F21" s="6" t="s">
        <v>112</v>
      </c>
      <c r="G21" s="6" t="s">
        <v>21</v>
      </c>
      <c r="H21" s="5" t="s">
        <v>22</v>
      </c>
      <c r="I21" s="5" t="s">
        <v>23</v>
      </c>
      <c r="J21" s="5" t="s">
        <v>24</v>
      </c>
      <c r="K21" s="5" t="s">
        <v>25</v>
      </c>
      <c r="L21" s="5"/>
      <c r="M21" s="5" t="s">
        <v>42</v>
      </c>
    </row>
    <row r="22" customFormat="false" ht="202.5" hidden="false" customHeight="true" outlineLevel="0" collapsed="false">
      <c r="A22" s="5" t="s">
        <v>113</v>
      </c>
      <c r="B22" s="6" t="s">
        <v>109</v>
      </c>
      <c r="C22" s="6" t="s">
        <v>114</v>
      </c>
      <c r="D22" s="6" t="s">
        <v>39</v>
      </c>
      <c r="E22" s="6" t="s">
        <v>115</v>
      </c>
      <c r="F22" s="6" t="s">
        <v>116</v>
      </c>
      <c r="G22" s="6" t="s">
        <v>21</v>
      </c>
      <c r="H22" s="5" t="s">
        <v>22</v>
      </c>
      <c r="I22" s="5" t="s">
        <v>71</v>
      </c>
      <c r="J22" s="5" t="s">
        <v>24</v>
      </c>
      <c r="K22" s="5" t="s">
        <v>25</v>
      </c>
      <c r="L22" s="5"/>
      <c r="M22" s="5" t="s">
        <v>42</v>
      </c>
    </row>
    <row r="23" customFormat="false" ht="124.5" hidden="false" customHeight="true" outlineLevel="0" collapsed="false">
      <c r="A23" s="5" t="s">
        <v>117</v>
      </c>
      <c r="B23" s="6" t="s">
        <v>118</v>
      </c>
      <c r="C23" s="6" t="s">
        <v>119</v>
      </c>
      <c r="D23" s="6" t="s">
        <v>39</v>
      </c>
      <c r="E23" s="6" t="s">
        <v>120</v>
      </c>
      <c r="F23" s="6" t="s">
        <v>121</v>
      </c>
      <c r="G23" s="6" t="s">
        <v>21</v>
      </c>
      <c r="H23" s="5" t="s">
        <v>53</v>
      </c>
      <c r="I23" s="5" t="s">
        <v>71</v>
      </c>
      <c r="J23" s="5" t="s">
        <v>24</v>
      </c>
      <c r="K23" s="5" t="s">
        <v>25</v>
      </c>
      <c r="L23" s="5"/>
      <c r="M23" s="5" t="s">
        <v>42</v>
      </c>
    </row>
    <row r="24" customFormat="false" ht="157.5" hidden="false" customHeight="true" outlineLevel="0" collapsed="false">
      <c r="A24" s="5" t="s">
        <v>122</v>
      </c>
      <c r="B24" s="6" t="s">
        <v>123</v>
      </c>
      <c r="C24" s="6" t="s">
        <v>124</v>
      </c>
      <c r="D24" s="6" t="s">
        <v>39</v>
      </c>
      <c r="E24" s="6" t="s">
        <v>125</v>
      </c>
      <c r="F24" s="6" t="s">
        <v>126</v>
      </c>
      <c r="G24" s="6" t="s">
        <v>21</v>
      </c>
      <c r="H24" s="5" t="s">
        <v>22</v>
      </c>
      <c r="I24" s="5" t="s">
        <v>71</v>
      </c>
      <c r="J24" s="5" t="s">
        <v>24</v>
      </c>
      <c r="K24" s="5" t="s">
        <v>25</v>
      </c>
      <c r="L24" s="5"/>
      <c r="M24" s="5" t="s">
        <v>42</v>
      </c>
    </row>
    <row r="25" customFormat="false" ht="113.25" hidden="false" customHeight="true" outlineLevel="0" collapsed="false">
      <c r="A25" s="5" t="s">
        <v>127</v>
      </c>
      <c r="B25" s="6" t="s">
        <v>128</v>
      </c>
      <c r="C25" s="6" t="s">
        <v>129</v>
      </c>
      <c r="D25" s="6" t="s">
        <v>18</v>
      </c>
      <c r="E25" s="6" t="s">
        <v>130</v>
      </c>
      <c r="F25" s="6" t="s">
        <v>131</v>
      </c>
      <c r="G25" s="6" t="s">
        <v>132</v>
      </c>
      <c r="H25" s="5" t="s">
        <v>53</v>
      </c>
      <c r="I25" s="5" t="s">
        <v>23</v>
      </c>
      <c r="J25" s="5" t="s">
        <v>24</v>
      </c>
      <c r="K25" s="5" t="s">
        <v>25</v>
      </c>
      <c r="L25" s="5" t="s">
        <v>26</v>
      </c>
      <c r="M25" s="5" t="s">
        <v>27</v>
      </c>
    </row>
    <row r="26" customFormat="false" ht="57" hidden="false" customHeight="true" outlineLevel="0" collapsed="false">
      <c r="A26" s="5" t="s">
        <v>133</v>
      </c>
      <c r="B26" s="6" t="s">
        <v>134</v>
      </c>
      <c r="C26" s="6" t="s">
        <v>135</v>
      </c>
      <c r="D26" s="6" t="s">
        <v>18</v>
      </c>
      <c r="E26" s="6" t="s">
        <v>136</v>
      </c>
      <c r="F26" s="6" t="s">
        <v>137</v>
      </c>
      <c r="G26" s="6" t="s">
        <v>21</v>
      </c>
      <c r="H26" s="5" t="s">
        <v>53</v>
      </c>
      <c r="I26" s="5" t="s">
        <v>23</v>
      </c>
      <c r="J26" s="5" t="s">
        <v>24</v>
      </c>
      <c r="K26" s="5" t="s">
        <v>25</v>
      </c>
      <c r="L26" s="5" t="s">
        <v>26</v>
      </c>
      <c r="M26" s="5" t="s">
        <v>27</v>
      </c>
    </row>
    <row r="27" customFormat="false" ht="113.25" hidden="false" customHeight="true" outlineLevel="0" collapsed="false">
      <c r="A27" s="5" t="s">
        <v>138</v>
      </c>
      <c r="B27" s="6" t="s">
        <v>139</v>
      </c>
      <c r="C27" s="6" t="s">
        <v>140</v>
      </c>
      <c r="D27" s="6" t="s">
        <v>18</v>
      </c>
      <c r="E27" s="6" t="s">
        <v>141</v>
      </c>
      <c r="F27" s="6" t="s">
        <v>142</v>
      </c>
      <c r="G27" s="6" t="s">
        <v>21</v>
      </c>
      <c r="H27" s="5" t="s">
        <v>53</v>
      </c>
      <c r="I27" s="5" t="s">
        <v>71</v>
      </c>
      <c r="J27" s="5" t="s">
        <v>24</v>
      </c>
      <c r="K27" s="5" t="s">
        <v>25</v>
      </c>
      <c r="L27" s="5" t="s">
        <v>26</v>
      </c>
      <c r="M27" s="5" t="s">
        <v>27</v>
      </c>
    </row>
    <row r="28" customFormat="false" ht="113.25" hidden="false" customHeight="true" outlineLevel="0" collapsed="false">
      <c r="A28" s="5" t="s">
        <v>143</v>
      </c>
      <c r="B28" s="6" t="s">
        <v>144</v>
      </c>
      <c r="C28" s="6" t="s">
        <v>145</v>
      </c>
      <c r="D28" s="6" t="s">
        <v>18</v>
      </c>
      <c r="E28" s="6" t="s">
        <v>146</v>
      </c>
      <c r="F28" s="6" t="s">
        <v>147</v>
      </c>
      <c r="G28" s="6" t="s">
        <v>21</v>
      </c>
      <c r="H28" s="5" t="s">
        <v>53</v>
      </c>
      <c r="I28" s="5" t="s">
        <v>71</v>
      </c>
      <c r="J28" s="5" t="s">
        <v>24</v>
      </c>
      <c r="K28" s="5" t="s">
        <v>25</v>
      </c>
      <c r="L28" s="5" t="s">
        <v>26</v>
      </c>
      <c r="M28" s="5" t="s">
        <v>27</v>
      </c>
    </row>
    <row r="29" customFormat="false" ht="102" hidden="false" customHeight="true" outlineLevel="0" collapsed="false">
      <c r="A29" s="5" t="s">
        <v>148</v>
      </c>
      <c r="B29" s="6" t="s">
        <v>144</v>
      </c>
      <c r="C29" s="6" t="s">
        <v>149</v>
      </c>
      <c r="D29" s="6" t="s">
        <v>18</v>
      </c>
      <c r="E29" s="6" t="s">
        <v>150</v>
      </c>
      <c r="F29" s="6" t="s">
        <v>151</v>
      </c>
      <c r="G29" s="6" t="s">
        <v>152</v>
      </c>
      <c r="H29" s="5" t="s">
        <v>53</v>
      </c>
      <c r="I29" s="5" t="s">
        <v>23</v>
      </c>
      <c r="J29" s="5" t="s">
        <v>24</v>
      </c>
      <c r="K29" s="5" t="s">
        <v>25</v>
      </c>
      <c r="L29" s="5" t="s">
        <v>26</v>
      </c>
      <c r="M29" s="5" t="s">
        <v>27</v>
      </c>
    </row>
    <row r="30" customFormat="false" ht="102" hidden="false" customHeight="true" outlineLevel="0" collapsed="false">
      <c r="A30" s="5" t="s">
        <v>153</v>
      </c>
      <c r="B30" s="6" t="s">
        <v>144</v>
      </c>
      <c r="C30" s="6" t="s">
        <v>154</v>
      </c>
      <c r="D30" s="6" t="s">
        <v>155</v>
      </c>
      <c r="E30" s="6" t="s">
        <v>156</v>
      </c>
      <c r="F30" s="6" t="s">
        <v>157</v>
      </c>
      <c r="G30" s="6" t="s">
        <v>152</v>
      </c>
      <c r="H30" s="5" t="s">
        <v>53</v>
      </c>
      <c r="I30" s="5" t="s">
        <v>23</v>
      </c>
      <c r="J30" s="5" t="s">
        <v>24</v>
      </c>
      <c r="K30" s="5" t="s">
        <v>25</v>
      </c>
      <c r="L30" s="5"/>
      <c r="M30" s="5" t="s">
        <v>42</v>
      </c>
    </row>
    <row r="31" customFormat="false" ht="113.25" hidden="false" customHeight="true" outlineLevel="0" collapsed="false">
      <c r="A31" s="5" t="s">
        <v>158</v>
      </c>
      <c r="B31" s="6" t="s">
        <v>144</v>
      </c>
      <c r="C31" s="6" t="s">
        <v>159</v>
      </c>
      <c r="D31" s="6" t="s">
        <v>155</v>
      </c>
      <c r="E31" s="6" t="s">
        <v>160</v>
      </c>
      <c r="F31" s="6" t="s">
        <v>161</v>
      </c>
      <c r="G31" s="6" t="s">
        <v>21</v>
      </c>
      <c r="H31" s="5" t="s">
        <v>53</v>
      </c>
      <c r="I31" s="5" t="s">
        <v>71</v>
      </c>
      <c r="J31" s="5" t="s">
        <v>24</v>
      </c>
      <c r="K31" s="5" t="s">
        <v>25</v>
      </c>
      <c r="L31" s="5"/>
      <c r="M31" s="5" t="s">
        <v>42</v>
      </c>
    </row>
    <row r="32" customFormat="false" ht="113.25" hidden="false" customHeight="true" outlineLevel="0" collapsed="false">
      <c r="A32" s="5" t="s">
        <v>162</v>
      </c>
      <c r="B32" s="6" t="s">
        <v>144</v>
      </c>
      <c r="C32" s="6" t="s">
        <v>163</v>
      </c>
      <c r="D32" s="6" t="s">
        <v>155</v>
      </c>
      <c r="E32" s="6" t="s">
        <v>164</v>
      </c>
      <c r="F32" s="6" t="s">
        <v>165</v>
      </c>
      <c r="G32" s="6" t="s">
        <v>21</v>
      </c>
      <c r="H32" s="5" t="s">
        <v>53</v>
      </c>
      <c r="I32" s="5" t="s">
        <v>71</v>
      </c>
      <c r="J32" s="5" t="s">
        <v>24</v>
      </c>
      <c r="K32" s="5" t="s">
        <v>25</v>
      </c>
      <c r="L32" s="5"/>
      <c r="M32" s="5" t="s">
        <v>42</v>
      </c>
    </row>
    <row r="33" customFormat="false" ht="102" hidden="false" customHeight="true" outlineLevel="0" collapsed="false">
      <c r="A33" s="5" t="s">
        <v>166</v>
      </c>
      <c r="B33" s="6" t="s">
        <v>144</v>
      </c>
      <c r="C33" s="6" t="s">
        <v>167</v>
      </c>
      <c r="D33" s="6" t="s">
        <v>155</v>
      </c>
      <c r="E33" s="6" t="s">
        <v>168</v>
      </c>
      <c r="F33" s="6" t="s">
        <v>169</v>
      </c>
      <c r="G33" s="6" t="s">
        <v>152</v>
      </c>
      <c r="H33" s="5" t="s">
        <v>53</v>
      </c>
      <c r="I33" s="5" t="s">
        <v>23</v>
      </c>
      <c r="J33" s="5" t="s">
        <v>24</v>
      </c>
      <c r="K33" s="5" t="s">
        <v>25</v>
      </c>
      <c r="L33" s="5"/>
      <c r="M33" s="5" t="s">
        <v>42</v>
      </c>
    </row>
    <row r="34" customFormat="false" ht="102" hidden="false" customHeight="true" outlineLevel="0" collapsed="false">
      <c r="A34" s="5" t="s">
        <v>170</v>
      </c>
      <c r="B34" s="6" t="s">
        <v>144</v>
      </c>
      <c r="C34" s="6" t="s">
        <v>171</v>
      </c>
      <c r="D34" s="6" t="s">
        <v>155</v>
      </c>
      <c r="E34" s="6" t="s">
        <v>172</v>
      </c>
      <c r="F34" s="6" t="s">
        <v>173</v>
      </c>
      <c r="G34" s="6" t="s">
        <v>152</v>
      </c>
      <c r="H34" s="5" t="s">
        <v>53</v>
      </c>
      <c r="I34" s="5" t="s">
        <v>23</v>
      </c>
      <c r="J34" s="5" t="s">
        <v>24</v>
      </c>
      <c r="K34" s="5" t="s">
        <v>25</v>
      </c>
      <c r="L34" s="5"/>
      <c r="M34" s="5" t="s">
        <v>42</v>
      </c>
    </row>
    <row r="35" customFormat="false" ht="113.25" hidden="false" customHeight="true" outlineLevel="0" collapsed="false">
      <c r="A35" s="5" t="s">
        <v>174</v>
      </c>
      <c r="B35" s="6" t="s">
        <v>144</v>
      </c>
      <c r="C35" s="6" t="s">
        <v>175</v>
      </c>
      <c r="D35" s="6" t="s">
        <v>155</v>
      </c>
      <c r="E35" s="6" t="s">
        <v>176</v>
      </c>
      <c r="F35" s="6" t="s">
        <v>177</v>
      </c>
      <c r="G35" s="6" t="s">
        <v>21</v>
      </c>
      <c r="H35" s="5" t="s">
        <v>53</v>
      </c>
      <c r="I35" s="5" t="s">
        <v>71</v>
      </c>
      <c r="J35" s="5" t="s">
        <v>24</v>
      </c>
      <c r="K35" s="5" t="s">
        <v>25</v>
      </c>
      <c r="L35" s="5"/>
      <c r="M35" s="5" t="s">
        <v>42</v>
      </c>
    </row>
    <row r="36" customFormat="false" ht="113.25" hidden="false" customHeight="true" outlineLevel="0" collapsed="false">
      <c r="A36" s="5" t="s">
        <v>178</v>
      </c>
      <c r="B36" s="6" t="s">
        <v>144</v>
      </c>
      <c r="C36" s="6" t="s">
        <v>179</v>
      </c>
      <c r="D36" s="6" t="s">
        <v>18</v>
      </c>
      <c r="E36" s="6" t="s">
        <v>180</v>
      </c>
      <c r="F36" s="6" t="s">
        <v>181</v>
      </c>
      <c r="G36" s="6" t="s">
        <v>21</v>
      </c>
      <c r="H36" s="5" t="s">
        <v>53</v>
      </c>
      <c r="I36" s="5" t="s">
        <v>71</v>
      </c>
      <c r="J36" s="5" t="s">
        <v>24</v>
      </c>
      <c r="K36" s="5" t="s">
        <v>25</v>
      </c>
      <c r="L36" s="5" t="s">
        <v>26</v>
      </c>
      <c r="M36" s="5" t="s">
        <v>27</v>
      </c>
    </row>
    <row r="37" customFormat="false" ht="102" hidden="false" customHeight="true" outlineLevel="0" collapsed="false">
      <c r="A37" s="5" t="s">
        <v>182</v>
      </c>
      <c r="B37" s="6" t="s">
        <v>144</v>
      </c>
      <c r="C37" s="6" t="s">
        <v>183</v>
      </c>
      <c r="D37" s="6" t="s">
        <v>18</v>
      </c>
      <c r="E37" s="6" t="s">
        <v>184</v>
      </c>
      <c r="F37" s="6" t="s">
        <v>185</v>
      </c>
      <c r="G37" s="6" t="s">
        <v>152</v>
      </c>
      <c r="H37" s="5" t="s">
        <v>53</v>
      </c>
      <c r="I37" s="5" t="s">
        <v>23</v>
      </c>
      <c r="J37" s="5" t="s">
        <v>24</v>
      </c>
      <c r="K37" s="5" t="s">
        <v>25</v>
      </c>
      <c r="L37" s="5" t="s">
        <v>26</v>
      </c>
      <c r="M37" s="5" t="s">
        <v>27</v>
      </c>
    </row>
    <row r="38" customFormat="false" ht="102" hidden="false" customHeight="true" outlineLevel="0" collapsed="false">
      <c r="A38" s="5" t="s">
        <v>186</v>
      </c>
      <c r="B38" s="6" t="s">
        <v>144</v>
      </c>
      <c r="C38" s="6" t="s">
        <v>187</v>
      </c>
      <c r="D38" s="6" t="s">
        <v>18</v>
      </c>
      <c r="E38" s="6" t="s">
        <v>188</v>
      </c>
      <c r="F38" s="6" t="s">
        <v>185</v>
      </c>
      <c r="G38" s="6" t="s">
        <v>152</v>
      </c>
      <c r="H38" s="5" t="s">
        <v>53</v>
      </c>
      <c r="I38" s="5" t="s">
        <v>23</v>
      </c>
      <c r="J38" s="5" t="s">
        <v>24</v>
      </c>
      <c r="K38" s="5" t="s">
        <v>25</v>
      </c>
      <c r="L38" s="5" t="s">
        <v>26</v>
      </c>
      <c r="M38" s="5" t="s">
        <v>27</v>
      </c>
    </row>
    <row r="39" customFormat="false" ht="113.25" hidden="false" customHeight="true" outlineLevel="0" collapsed="false">
      <c r="A39" s="5" t="s">
        <v>189</v>
      </c>
      <c r="B39" s="6" t="s">
        <v>144</v>
      </c>
      <c r="C39" s="6" t="s">
        <v>190</v>
      </c>
      <c r="D39" s="6" t="s">
        <v>18</v>
      </c>
      <c r="E39" s="6" t="s">
        <v>191</v>
      </c>
      <c r="F39" s="6" t="s">
        <v>181</v>
      </c>
      <c r="G39" s="6" t="s">
        <v>21</v>
      </c>
      <c r="H39" s="5" t="s">
        <v>53</v>
      </c>
      <c r="I39" s="5" t="s">
        <v>71</v>
      </c>
      <c r="J39" s="5" t="s">
        <v>24</v>
      </c>
      <c r="K39" s="5" t="s">
        <v>25</v>
      </c>
      <c r="L39" s="5" t="s">
        <v>26</v>
      </c>
      <c r="M39" s="5" t="s">
        <v>27</v>
      </c>
    </row>
    <row r="40" customFormat="false" ht="57" hidden="false" customHeight="true" outlineLevel="0" collapsed="false">
      <c r="A40" s="5" t="s">
        <v>192</v>
      </c>
      <c r="B40" s="6" t="s">
        <v>193</v>
      </c>
      <c r="C40" s="6" t="s">
        <v>194</v>
      </c>
      <c r="D40" s="6" t="s">
        <v>195</v>
      </c>
      <c r="E40" s="6" t="s">
        <v>196</v>
      </c>
      <c r="F40" s="6" t="s">
        <v>197</v>
      </c>
      <c r="G40" s="6" t="s">
        <v>21</v>
      </c>
      <c r="H40" s="5" t="s">
        <v>22</v>
      </c>
      <c r="I40" s="5" t="s">
        <v>23</v>
      </c>
      <c r="J40" s="5" t="s">
        <v>24</v>
      </c>
      <c r="K40" s="5" t="s">
        <v>25</v>
      </c>
      <c r="L40" s="5" t="s">
        <v>26</v>
      </c>
      <c r="M40" s="5" t="s">
        <v>27</v>
      </c>
    </row>
    <row r="41" customFormat="false" ht="68.25" hidden="false" customHeight="true" outlineLevel="0" collapsed="false">
      <c r="A41" s="5" t="s">
        <v>198</v>
      </c>
      <c r="B41" s="6" t="s">
        <v>193</v>
      </c>
      <c r="C41" s="6" t="s">
        <v>199</v>
      </c>
      <c r="D41" s="6" t="s">
        <v>195</v>
      </c>
      <c r="E41" s="6" t="s">
        <v>200</v>
      </c>
      <c r="F41" s="6" t="s">
        <v>201</v>
      </c>
      <c r="G41" s="6" t="s">
        <v>21</v>
      </c>
      <c r="H41" s="5" t="s">
        <v>22</v>
      </c>
      <c r="I41" s="5" t="s">
        <v>71</v>
      </c>
      <c r="J41" s="5" t="s">
        <v>24</v>
      </c>
      <c r="K41" s="5" t="s">
        <v>25</v>
      </c>
      <c r="L41" s="5" t="s">
        <v>26</v>
      </c>
      <c r="M41" s="5" t="s">
        <v>27</v>
      </c>
    </row>
    <row r="42" customFormat="false" ht="68.25" hidden="false" customHeight="true" outlineLevel="0" collapsed="false">
      <c r="A42" s="5" t="s">
        <v>202</v>
      </c>
      <c r="B42" s="6" t="s">
        <v>203</v>
      </c>
      <c r="C42" s="6" t="s">
        <v>204</v>
      </c>
      <c r="D42" s="6" t="s">
        <v>195</v>
      </c>
      <c r="E42" s="6" t="s">
        <v>205</v>
      </c>
      <c r="F42" s="6" t="s">
        <v>206</v>
      </c>
      <c r="G42" s="6" t="s">
        <v>21</v>
      </c>
      <c r="H42" s="5" t="s">
        <v>22</v>
      </c>
      <c r="I42" s="5" t="s">
        <v>23</v>
      </c>
      <c r="J42" s="5" t="s">
        <v>24</v>
      </c>
      <c r="K42" s="5" t="s">
        <v>25</v>
      </c>
      <c r="L42" s="5"/>
      <c r="M42" s="5" t="s">
        <v>42</v>
      </c>
    </row>
    <row r="43" customFormat="false" ht="57" hidden="false" customHeight="true" outlineLevel="0" collapsed="false">
      <c r="A43" s="5" t="s">
        <v>207</v>
      </c>
      <c r="B43" s="6" t="s">
        <v>203</v>
      </c>
      <c r="C43" s="6" t="s">
        <v>208</v>
      </c>
      <c r="D43" s="6" t="s">
        <v>195</v>
      </c>
      <c r="E43" s="6" t="s">
        <v>209</v>
      </c>
      <c r="F43" s="6" t="s">
        <v>210</v>
      </c>
      <c r="G43" s="6" t="s">
        <v>21</v>
      </c>
      <c r="H43" s="5" t="s">
        <v>22</v>
      </c>
      <c r="I43" s="5" t="s">
        <v>71</v>
      </c>
      <c r="J43" s="5" t="s">
        <v>24</v>
      </c>
      <c r="K43" s="5" t="s">
        <v>25</v>
      </c>
      <c r="L43" s="5"/>
      <c r="M43" s="5" t="s">
        <v>42</v>
      </c>
    </row>
    <row r="44" customFormat="false" ht="57" hidden="false" customHeight="true" outlineLevel="0" collapsed="false">
      <c r="A44" s="5" t="s">
        <v>211</v>
      </c>
      <c r="B44" s="6" t="s">
        <v>203</v>
      </c>
      <c r="C44" s="6" t="s">
        <v>212</v>
      </c>
      <c r="D44" s="6" t="s">
        <v>195</v>
      </c>
      <c r="E44" s="6" t="s">
        <v>213</v>
      </c>
      <c r="F44" s="6" t="s">
        <v>214</v>
      </c>
      <c r="G44" s="6" t="s">
        <v>21</v>
      </c>
      <c r="H44" s="5" t="s">
        <v>22</v>
      </c>
      <c r="I44" s="5" t="s">
        <v>23</v>
      </c>
      <c r="J44" s="5" t="s">
        <v>24</v>
      </c>
      <c r="K44" s="5" t="s">
        <v>25</v>
      </c>
      <c r="L44" s="5" t="s">
        <v>26</v>
      </c>
      <c r="M44" s="5" t="s">
        <v>27</v>
      </c>
    </row>
    <row r="45" customFormat="false" ht="90.75" hidden="false" customHeight="true" outlineLevel="0" collapsed="false">
      <c r="A45" s="5" t="s">
        <v>215</v>
      </c>
      <c r="B45" s="6" t="s">
        <v>216</v>
      </c>
      <c r="C45" s="6" t="s">
        <v>217</v>
      </c>
      <c r="D45" s="6" t="s">
        <v>195</v>
      </c>
      <c r="E45" s="6" t="s">
        <v>218</v>
      </c>
      <c r="F45" s="6" t="s">
        <v>219</v>
      </c>
      <c r="G45" s="6" t="s">
        <v>21</v>
      </c>
      <c r="H45" s="5" t="s">
        <v>53</v>
      </c>
      <c r="I45" s="5" t="s">
        <v>23</v>
      </c>
      <c r="J45" s="5" t="s">
        <v>24</v>
      </c>
      <c r="K45" s="5" t="s">
        <v>25</v>
      </c>
      <c r="L45" s="5" t="s">
        <v>26</v>
      </c>
      <c r="M45" s="5" t="s">
        <v>27</v>
      </c>
    </row>
    <row r="46" customFormat="false" ht="68.25" hidden="false" customHeight="true" outlineLevel="0" collapsed="false">
      <c r="A46" s="5" t="s">
        <v>220</v>
      </c>
      <c r="B46" s="6" t="s">
        <v>221</v>
      </c>
      <c r="C46" s="6" t="s">
        <v>222</v>
      </c>
      <c r="D46" s="6" t="s">
        <v>223</v>
      </c>
      <c r="E46" s="6" t="s">
        <v>224</v>
      </c>
      <c r="F46" s="6" t="s">
        <v>225</v>
      </c>
      <c r="G46" s="6" t="s">
        <v>21</v>
      </c>
      <c r="H46" s="5" t="s">
        <v>22</v>
      </c>
      <c r="I46" s="5" t="s">
        <v>23</v>
      </c>
      <c r="J46" s="5" t="s">
        <v>24</v>
      </c>
      <c r="K46" s="5" t="s">
        <v>25</v>
      </c>
      <c r="L46" s="5"/>
      <c r="M46" s="5" t="s">
        <v>42</v>
      </c>
    </row>
    <row r="47" customFormat="false" ht="68.25" hidden="false" customHeight="true" outlineLevel="0" collapsed="false">
      <c r="A47" s="5" t="s">
        <v>226</v>
      </c>
      <c r="B47" s="6" t="s">
        <v>227</v>
      </c>
      <c r="C47" s="6" t="s">
        <v>228</v>
      </c>
      <c r="D47" s="6" t="s">
        <v>195</v>
      </c>
      <c r="E47" s="6" t="s">
        <v>229</v>
      </c>
      <c r="F47" s="6" t="s">
        <v>230</v>
      </c>
      <c r="G47" s="6" t="s">
        <v>21</v>
      </c>
      <c r="H47" s="5" t="s">
        <v>22</v>
      </c>
      <c r="I47" s="5" t="s">
        <v>23</v>
      </c>
      <c r="J47" s="5" t="s">
        <v>24</v>
      </c>
      <c r="K47" s="5" t="s">
        <v>25</v>
      </c>
      <c r="L47" s="5" t="s">
        <v>26</v>
      </c>
      <c r="M47" s="5" t="s">
        <v>27</v>
      </c>
    </row>
    <row r="48" customFormat="false" ht="157.5" hidden="false" customHeight="true" outlineLevel="0" collapsed="false">
      <c r="A48" s="5" t="s">
        <v>231</v>
      </c>
      <c r="B48" s="6" t="s">
        <v>227</v>
      </c>
      <c r="C48" s="6" t="s">
        <v>232</v>
      </c>
      <c r="D48" s="6" t="s">
        <v>195</v>
      </c>
      <c r="E48" s="6" t="s">
        <v>233</v>
      </c>
      <c r="F48" s="6" t="s">
        <v>234</v>
      </c>
      <c r="G48" s="6" t="s">
        <v>235</v>
      </c>
      <c r="H48" s="5" t="s">
        <v>22</v>
      </c>
      <c r="I48" s="5" t="s">
        <v>23</v>
      </c>
      <c r="J48" s="5" t="s">
        <v>24</v>
      </c>
      <c r="K48" s="5" t="s">
        <v>25</v>
      </c>
      <c r="L48" s="5"/>
      <c r="M48" s="5" t="s">
        <v>42</v>
      </c>
    </row>
    <row r="49" customFormat="false" ht="135.75" hidden="false" customHeight="true" outlineLevel="0" collapsed="false">
      <c r="A49" s="5" t="s">
        <v>236</v>
      </c>
      <c r="B49" s="6" t="s">
        <v>227</v>
      </c>
      <c r="C49" s="6" t="s">
        <v>237</v>
      </c>
      <c r="D49" s="6" t="s">
        <v>195</v>
      </c>
      <c r="E49" s="6" t="s">
        <v>238</v>
      </c>
      <c r="F49" s="6" t="s">
        <v>239</v>
      </c>
      <c r="G49" s="6" t="s">
        <v>21</v>
      </c>
      <c r="H49" s="5" t="s">
        <v>22</v>
      </c>
      <c r="I49" s="5" t="s">
        <v>23</v>
      </c>
      <c r="J49" s="5" t="s">
        <v>24</v>
      </c>
      <c r="K49" s="5" t="s">
        <v>25</v>
      </c>
      <c r="L49" s="5"/>
      <c r="M49" s="5" t="s">
        <v>42</v>
      </c>
    </row>
    <row r="50" customFormat="false" ht="180" hidden="false" customHeight="true" outlineLevel="0" collapsed="false">
      <c r="A50" s="5" t="s">
        <v>240</v>
      </c>
      <c r="B50" s="6" t="s">
        <v>241</v>
      </c>
      <c r="C50" s="6" t="s">
        <v>242</v>
      </c>
      <c r="D50" s="6" t="s">
        <v>195</v>
      </c>
      <c r="E50" s="6" t="s">
        <v>243</v>
      </c>
      <c r="F50" s="6" t="s">
        <v>244</v>
      </c>
      <c r="G50" s="6" t="s">
        <v>245</v>
      </c>
      <c r="H50" s="5" t="s">
        <v>53</v>
      </c>
      <c r="I50" s="5" t="s">
        <v>23</v>
      </c>
      <c r="J50" s="5" t="s">
        <v>24</v>
      </c>
      <c r="K50" s="5" t="s">
        <v>25</v>
      </c>
      <c r="L50" s="5" t="s">
        <v>26</v>
      </c>
      <c r="M50" s="5" t="s">
        <v>27</v>
      </c>
    </row>
    <row r="51" customFormat="false" ht="168.75" hidden="false" customHeight="true" outlineLevel="0" collapsed="false">
      <c r="A51" s="5" t="s">
        <v>246</v>
      </c>
      <c r="B51" s="6" t="s">
        <v>241</v>
      </c>
      <c r="C51" s="6" t="s">
        <v>247</v>
      </c>
      <c r="D51" s="6" t="s">
        <v>195</v>
      </c>
      <c r="E51" s="6" t="s">
        <v>248</v>
      </c>
      <c r="F51" s="6" t="s">
        <v>249</v>
      </c>
      <c r="G51" s="6" t="s">
        <v>250</v>
      </c>
      <c r="H51" s="5" t="s">
        <v>53</v>
      </c>
      <c r="I51" s="5" t="s">
        <v>23</v>
      </c>
      <c r="J51" s="5" t="s">
        <v>24</v>
      </c>
      <c r="K51" s="5" t="s">
        <v>25</v>
      </c>
      <c r="L51" s="5" t="s">
        <v>26</v>
      </c>
      <c r="M51" s="5" t="s">
        <v>27</v>
      </c>
    </row>
    <row r="52" customFormat="false" ht="113.25" hidden="false" customHeight="true" outlineLevel="0" collapsed="false">
      <c r="A52" s="5" t="s">
        <v>251</v>
      </c>
      <c r="B52" s="6" t="s">
        <v>252</v>
      </c>
      <c r="C52" s="6" t="s">
        <v>253</v>
      </c>
      <c r="D52" s="6" t="s">
        <v>195</v>
      </c>
      <c r="E52" s="6" t="s">
        <v>254</v>
      </c>
      <c r="F52" s="6" t="s">
        <v>255</v>
      </c>
      <c r="G52" s="6" t="s">
        <v>21</v>
      </c>
      <c r="H52" s="5" t="s">
        <v>256</v>
      </c>
      <c r="I52" s="5" t="s">
        <v>23</v>
      </c>
      <c r="J52" s="5" t="s">
        <v>24</v>
      </c>
      <c r="K52" s="5" t="s">
        <v>25</v>
      </c>
      <c r="L52" s="5"/>
      <c r="M52" s="5" t="s">
        <v>42</v>
      </c>
    </row>
    <row r="53" customFormat="false" ht="68.25" hidden="false" customHeight="true" outlineLevel="0" collapsed="false">
      <c r="A53" s="5" t="s">
        <v>257</v>
      </c>
      <c r="B53" s="6" t="s">
        <v>258</v>
      </c>
      <c r="C53" s="6" t="s">
        <v>259</v>
      </c>
      <c r="D53" s="6" t="s">
        <v>195</v>
      </c>
      <c r="E53" s="6" t="s">
        <v>260</v>
      </c>
      <c r="F53" s="6" t="s">
        <v>261</v>
      </c>
      <c r="G53" s="6" t="s">
        <v>21</v>
      </c>
      <c r="H53" s="5" t="s">
        <v>53</v>
      </c>
      <c r="I53" s="5" t="s">
        <v>23</v>
      </c>
      <c r="J53" s="5" t="s">
        <v>24</v>
      </c>
      <c r="K53" s="5" t="s">
        <v>25</v>
      </c>
      <c r="L53" s="5" t="s">
        <v>26</v>
      </c>
      <c r="M53" s="5" t="s">
        <v>27</v>
      </c>
    </row>
    <row r="54" customFormat="false" ht="79.5" hidden="false" customHeight="true" outlineLevel="0" collapsed="false">
      <c r="A54" s="5" t="s">
        <v>262</v>
      </c>
      <c r="B54" s="6" t="s">
        <v>263</v>
      </c>
      <c r="C54" s="6" t="s">
        <v>264</v>
      </c>
      <c r="D54" s="6" t="s">
        <v>195</v>
      </c>
      <c r="E54" s="6" t="s">
        <v>265</v>
      </c>
      <c r="F54" s="6" t="s">
        <v>266</v>
      </c>
      <c r="G54" s="6" t="s">
        <v>21</v>
      </c>
      <c r="H54" s="5" t="s">
        <v>53</v>
      </c>
      <c r="I54" s="5" t="s">
        <v>23</v>
      </c>
      <c r="J54" s="5" t="s">
        <v>24</v>
      </c>
      <c r="K54" s="5" t="s">
        <v>25</v>
      </c>
      <c r="L54" s="5" t="s">
        <v>26</v>
      </c>
      <c r="M54" s="5" t="s">
        <v>27</v>
      </c>
    </row>
    <row r="55" customFormat="false" ht="68.25" hidden="false" customHeight="true" outlineLevel="0" collapsed="false">
      <c r="A55" s="5" t="s">
        <v>267</v>
      </c>
      <c r="B55" s="6" t="s">
        <v>268</v>
      </c>
      <c r="C55" s="6" t="s">
        <v>269</v>
      </c>
      <c r="D55" s="6" t="s">
        <v>18</v>
      </c>
      <c r="E55" s="6" t="s">
        <v>270</v>
      </c>
      <c r="F55" s="6" t="s">
        <v>271</v>
      </c>
      <c r="G55" s="6" t="s">
        <v>21</v>
      </c>
      <c r="H55" s="5" t="s">
        <v>53</v>
      </c>
      <c r="I55" s="5" t="s">
        <v>23</v>
      </c>
      <c r="J55" s="5" t="s">
        <v>24</v>
      </c>
      <c r="K55" s="5" t="s">
        <v>25</v>
      </c>
      <c r="L55" s="5"/>
      <c r="M55" s="5" t="s">
        <v>42</v>
      </c>
    </row>
    <row r="56" customFormat="false" ht="57" hidden="false" customHeight="true" outlineLevel="0" collapsed="false">
      <c r="A56" s="5" t="s">
        <v>272</v>
      </c>
      <c r="B56" s="6" t="s">
        <v>273</v>
      </c>
      <c r="C56" s="6" t="s">
        <v>274</v>
      </c>
      <c r="D56" s="6" t="s">
        <v>275</v>
      </c>
      <c r="E56" s="6" t="s">
        <v>276</v>
      </c>
      <c r="F56" s="6" t="s">
        <v>277</v>
      </c>
      <c r="G56" s="6" t="s">
        <v>21</v>
      </c>
      <c r="H56" s="5" t="s">
        <v>256</v>
      </c>
      <c r="I56" s="5" t="s">
        <v>23</v>
      </c>
      <c r="J56" s="5" t="s">
        <v>24</v>
      </c>
      <c r="K56" s="5" t="s">
        <v>25</v>
      </c>
      <c r="L56" s="5"/>
      <c r="M56" s="5" t="s">
        <v>42</v>
      </c>
    </row>
    <row r="57" customFormat="false" ht="57" hidden="false" customHeight="true" outlineLevel="0" collapsed="false">
      <c r="A57" s="5" t="s">
        <v>278</v>
      </c>
      <c r="B57" s="6" t="s">
        <v>273</v>
      </c>
      <c r="C57" s="6" t="s">
        <v>279</v>
      </c>
      <c r="D57" s="6" t="s">
        <v>275</v>
      </c>
      <c r="E57" s="6" t="s">
        <v>280</v>
      </c>
      <c r="F57" s="6" t="s">
        <v>277</v>
      </c>
      <c r="G57" s="6" t="s">
        <v>21</v>
      </c>
      <c r="H57" s="5" t="s">
        <v>256</v>
      </c>
      <c r="I57" s="5" t="s">
        <v>23</v>
      </c>
      <c r="J57" s="5" t="s">
        <v>24</v>
      </c>
      <c r="K57" s="5" t="s">
        <v>25</v>
      </c>
      <c r="L57" s="5"/>
      <c r="M57" s="5" t="s">
        <v>42</v>
      </c>
    </row>
    <row r="58" customFormat="false" ht="168.75" hidden="false" customHeight="true" outlineLevel="0" collapsed="false">
      <c r="A58" s="5" t="s">
        <v>281</v>
      </c>
      <c r="B58" s="6" t="s">
        <v>282</v>
      </c>
      <c r="C58" s="6" t="s">
        <v>283</v>
      </c>
      <c r="D58" s="6" t="s">
        <v>39</v>
      </c>
      <c r="E58" s="6" t="s">
        <v>284</v>
      </c>
      <c r="F58" s="6" t="s">
        <v>285</v>
      </c>
      <c r="G58" s="6" t="s">
        <v>21</v>
      </c>
      <c r="H58" s="5" t="s">
        <v>256</v>
      </c>
      <c r="I58" s="5" t="s">
        <v>23</v>
      </c>
      <c r="J58" s="5" t="s">
        <v>24</v>
      </c>
      <c r="K58" s="5" t="s">
        <v>25</v>
      </c>
      <c r="L58" s="5"/>
      <c r="M58" s="5" t="s">
        <v>42</v>
      </c>
    </row>
    <row r="59" customFormat="false" ht="68.25" hidden="false" customHeight="true" outlineLevel="0" collapsed="false">
      <c r="A59" s="5" t="s">
        <v>286</v>
      </c>
      <c r="B59" s="6" t="s">
        <v>287</v>
      </c>
      <c r="C59" s="6" t="s">
        <v>288</v>
      </c>
      <c r="D59" s="6" t="s">
        <v>18</v>
      </c>
      <c r="E59" s="6" t="s">
        <v>289</v>
      </c>
      <c r="F59" s="6" t="s">
        <v>290</v>
      </c>
      <c r="G59" s="6" t="s">
        <v>21</v>
      </c>
      <c r="H59" s="5" t="s">
        <v>53</v>
      </c>
      <c r="I59" s="5" t="s">
        <v>23</v>
      </c>
      <c r="J59" s="5" t="s">
        <v>24</v>
      </c>
      <c r="K59" s="5" t="s">
        <v>25</v>
      </c>
      <c r="L59" s="5"/>
      <c r="M59" s="5" t="s">
        <v>42</v>
      </c>
    </row>
  </sheetData>
  <autoFilter ref="A4:M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3" min="3" style="1" width="48"/>
    <col collapsed="false" customWidth="true" hidden="false" outlineLevel="0" max="4" min="4" style="1" width="80"/>
  </cols>
  <sheetData>
    <row r="1" customFormat="false" ht="15" hidden="false" customHeight="true" outlineLevel="0" collapsed="false">
      <c r="A1" s="2" t="s">
        <v>291</v>
      </c>
    </row>
    <row r="3" customFormat="false" ht="15" hidden="false" customHeight="true" outlineLevel="0" collapsed="false">
      <c r="A3" s="4" t="s">
        <v>292</v>
      </c>
      <c r="B3" s="4" t="s">
        <v>293</v>
      </c>
      <c r="C3" s="4" t="s">
        <v>294</v>
      </c>
      <c r="D3" s="4" t="s">
        <v>295</v>
      </c>
    </row>
    <row r="4" customFormat="false" ht="23.25" hidden="false" customHeight="true" outlineLevel="0" collapsed="false">
      <c r="A4" s="5" t="s">
        <v>16</v>
      </c>
      <c r="B4" s="6" t="s">
        <v>296</v>
      </c>
      <c r="C4" s="6" t="s">
        <v>297</v>
      </c>
      <c r="D4" s="6"/>
    </row>
    <row r="5" customFormat="false" ht="23.25" hidden="false" customHeight="true" outlineLevel="0" collapsed="false">
      <c r="A5" s="5" t="s">
        <v>44</v>
      </c>
      <c r="B5" s="6" t="s">
        <v>298</v>
      </c>
      <c r="C5" s="6" t="s">
        <v>299</v>
      </c>
      <c r="D5" s="6"/>
    </row>
    <row r="6" customFormat="false" ht="15" hidden="false" customHeight="true" outlineLevel="0" collapsed="false">
      <c r="A6" s="5" t="s">
        <v>60</v>
      </c>
      <c r="B6" s="6" t="s">
        <v>300</v>
      </c>
      <c r="C6" s="6" t="s">
        <v>301</v>
      </c>
      <c r="D6" s="6"/>
    </row>
    <row r="7" customFormat="false" ht="15" hidden="false" customHeight="true" outlineLevel="0" collapsed="false">
      <c r="A7" s="5" t="s">
        <v>79</v>
      </c>
      <c r="B7" s="6" t="s">
        <v>302</v>
      </c>
      <c r="C7" s="6" t="s">
        <v>303</v>
      </c>
      <c r="D7" s="6" t="s">
        <v>304</v>
      </c>
    </row>
    <row r="8" customFormat="false" ht="15" hidden="false" customHeight="true" outlineLevel="0" collapsed="false">
      <c r="A8" s="5" t="s">
        <v>84</v>
      </c>
      <c r="B8" s="6" t="s">
        <v>305</v>
      </c>
      <c r="C8" s="6" t="s">
        <v>306</v>
      </c>
      <c r="D8" s="6"/>
    </row>
    <row r="9" customFormat="false" ht="23.25" hidden="false" customHeight="true" outlineLevel="0" collapsed="false">
      <c r="A9" s="5" t="s">
        <v>307</v>
      </c>
      <c r="B9" s="6" t="s">
        <v>308</v>
      </c>
      <c r="C9" s="6" t="s">
        <v>309</v>
      </c>
      <c r="D9" s="6" t="s">
        <v>310</v>
      </c>
    </row>
    <row r="10" customFormat="false" ht="34.5" hidden="false" customHeight="true" outlineLevel="0" collapsed="false">
      <c r="A10" s="5" t="s">
        <v>144</v>
      </c>
      <c r="B10" s="6" t="s">
        <v>311</v>
      </c>
      <c r="C10" s="6" t="s">
        <v>312</v>
      </c>
      <c r="D10" s="6" t="s">
        <v>313</v>
      </c>
    </row>
    <row r="11" customFormat="false" ht="15" hidden="false" customHeight="true" outlineLevel="0" collapsed="false">
      <c r="A11" s="5" t="s">
        <v>193</v>
      </c>
      <c r="B11" s="6" t="s">
        <v>314</v>
      </c>
      <c r="C11" s="6" t="s">
        <v>315</v>
      </c>
      <c r="D11" s="6"/>
    </row>
    <row r="12" customFormat="false" ht="15" hidden="false" customHeight="true" outlineLevel="0" collapsed="false">
      <c r="A12" s="5" t="s">
        <v>316</v>
      </c>
      <c r="B12" s="6" t="s">
        <v>317</v>
      </c>
      <c r="C12" s="6" t="s">
        <v>215</v>
      </c>
      <c r="D12" s="6"/>
    </row>
    <row r="13" customFormat="false" ht="15" hidden="false" customHeight="true" outlineLevel="0" collapsed="false">
      <c r="A13" s="5" t="s">
        <v>227</v>
      </c>
      <c r="B13" s="6" t="s">
        <v>318</v>
      </c>
      <c r="C13" s="6" t="s">
        <v>319</v>
      </c>
      <c r="D13" s="6"/>
    </row>
    <row r="14" customFormat="false" ht="15" hidden="false" customHeight="true" outlineLevel="0" collapsed="false">
      <c r="A14" s="5" t="s">
        <v>241</v>
      </c>
      <c r="B14" s="6" t="s">
        <v>320</v>
      </c>
      <c r="C14" s="6" t="s">
        <v>321</v>
      </c>
      <c r="D14" s="6" t="s">
        <v>322</v>
      </c>
    </row>
    <row r="15" customFormat="false" ht="45.75" hidden="false" customHeight="true" outlineLevel="0" collapsed="false">
      <c r="A15" s="5" t="s">
        <v>323</v>
      </c>
      <c r="B15" s="6" t="s">
        <v>324</v>
      </c>
      <c r="C15" s="7" t="s">
        <v>325</v>
      </c>
      <c r="D15" s="6" t="s">
        <v>326</v>
      </c>
    </row>
    <row r="16" customFormat="false" ht="34.5" hidden="false" customHeight="true" outlineLevel="0" collapsed="false">
      <c r="A16" s="5" t="s">
        <v>252</v>
      </c>
      <c r="B16" s="6" t="s">
        <v>327</v>
      </c>
      <c r="C16" s="6" t="s">
        <v>251</v>
      </c>
      <c r="D16" s="6" t="s">
        <v>328</v>
      </c>
    </row>
    <row r="17" customFormat="false" ht="15" hidden="false" customHeight="true" outlineLevel="0" collapsed="false">
      <c r="A17" s="5" t="s">
        <v>258</v>
      </c>
      <c r="B17" s="6" t="s">
        <v>329</v>
      </c>
      <c r="C17" s="6" t="s">
        <v>330</v>
      </c>
      <c r="D17" s="6" t="s">
        <v>331</v>
      </c>
    </row>
    <row r="18" customFormat="false" ht="15" hidden="false" customHeight="true" outlineLevel="0" collapsed="false">
      <c r="A18" s="5" t="s">
        <v>37</v>
      </c>
      <c r="B18" s="6" t="s">
        <v>332</v>
      </c>
      <c r="C18" s="6" t="s">
        <v>36</v>
      </c>
      <c r="D18" s="6"/>
    </row>
    <row r="19" customFormat="false" ht="15" hidden="false" customHeight="true" outlineLevel="0" collapsed="false">
      <c r="A19" s="5" t="s">
        <v>268</v>
      </c>
      <c r="B19" s="6" t="s">
        <v>333</v>
      </c>
      <c r="C19" s="6" t="s">
        <v>334</v>
      </c>
      <c r="D19" s="6" t="s">
        <v>335</v>
      </c>
    </row>
    <row r="20" customFormat="false" ht="15" hidden="false" customHeight="true" outlineLevel="0" collapsed="false">
      <c r="A20" s="5" t="s">
        <v>49</v>
      </c>
      <c r="B20" s="6" t="s">
        <v>336</v>
      </c>
      <c r="C20" s="6" t="s">
        <v>48</v>
      </c>
      <c r="D20" s="6"/>
    </row>
    <row r="21" customFormat="false" ht="15" hidden="false" customHeight="true" outlineLevel="0" collapsed="false">
      <c r="A21" s="5" t="s">
        <v>109</v>
      </c>
      <c r="B21" s="6" t="s">
        <v>337</v>
      </c>
      <c r="C21" s="6" t="s">
        <v>338</v>
      </c>
      <c r="D21" s="6"/>
    </row>
    <row r="22" customFormat="false" ht="15" hidden="false" customHeight="true" outlineLevel="0" collapsed="false">
      <c r="A22" s="5" t="s">
        <v>97</v>
      </c>
      <c r="B22" s="6" t="s">
        <v>339</v>
      </c>
      <c r="C22" s="6" t="s">
        <v>96</v>
      </c>
      <c r="D22" s="6"/>
    </row>
    <row r="23" customFormat="false" ht="15" hidden="false" customHeight="true" outlineLevel="0" collapsed="false">
      <c r="A23" s="5" t="s">
        <v>340</v>
      </c>
      <c r="B23" s="6" t="s">
        <v>341</v>
      </c>
      <c r="C23" s="6" t="s">
        <v>342</v>
      </c>
      <c r="D23" s="6"/>
    </row>
    <row r="24" customFormat="false" ht="23.25" hidden="false" customHeight="true" outlineLevel="0" collapsed="false">
      <c r="A24" s="5" t="s">
        <v>203</v>
      </c>
      <c r="B24" s="6" t="s">
        <v>343</v>
      </c>
      <c r="C24" s="6" t="s">
        <v>344</v>
      </c>
      <c r="D24" s="6" t="s">
        <v>345</v>
      </c>
    </row>
    <row r="25" customFormat="false" ht="15" hidden="false" customHeight="true" outlineLevel="0" collapsed="false">
      <c r="A25" s="5" t="s">
        <v>346</v>
      </c>
      <c r="B25" s="6" t="s">
        <v>347</v>
      </c>
      <c r="C25" s="6" t="s">
        <v>117</v>
      </c>
      <c r="D25" s="6"/>
    </row>
    <row r="26" customFormat="false" ht="15" hidden="false" customHeight="true" outlineLevel="0" collapsed="false">
      <c r="A26" s="5" t="s">
        <v>134</v>
      </c>
      <c r="B26" s="6" t="s">
        <v>348</v>
      </c>
      <c r="C26" s="6" t="s">
        <v>349</v>
      </c>
      <c r="D26" s="6"/>
    </row>
    <row r="27" customFormat="false" ht="15" hidden="false" customHeight="true" outlineLevel="0" collapsed="false">
      <c r="A27" s="5" t="s">
        <v>273</v>
      </c>
      <c r="B27" s="6" t="s">
        <v>350</v>
      </c>
      <c r="C27" s="6" t="s">
        <v>351</v>
      </c>
      <c r="D27" s="6"/>
    </row>
    <row r="28" customFormat="false" ht="34.5" hidden="false" customHeight="true" outlineLevel="0" collapsed="false">
      <c r="A28" s="5" t="s">
        <v>352</v>
      </c>
      <c r="B28" s="6" t="s">
        <v>353</v>
      </c>
      <c r="C28" s="7" t="s">
        <v>325</v>
      </c>
      <c r="D28" s="6" t="s">
        <v>354</v>
      </c>
    </row>
    <row r="29" customFormat="false" ht="23.25" hidden="false" customHeight="true" outlineLevel="0" collapsed="false">
      <c r="A29" s="5" t="s">
        <v>355</v>
      </c>
      <c r="B29" s="6" t="s">
        <v>356</v>
      </c>
      <c r="C29" s="7" t="s">
        <v>325</v>
      </c>
      <c r="D29" s="6" t="s">
        <v>357</v>
      </c>
    </row>
    <row r="30" customFormat="false" ht="23.25" hidden="false" customHeight="true" outlineLevel="0" collapsed="false">
      <c r="A30" s="5" t="s">
        <v>358</v>
      </c>
      <c r="B30" s="6" t="s">
        <v>359</v>
      </c>
      <c r="C30" s="7" t="s">
        <v>325</v>
      </c>
      <c r="D30" s="6" t="s">
        <v>360</v>
      </c>
    </row>
    <row r="31" customFormat="false" ht="15" hidden="false" customHeight="true" outlineLevel="0" collapsed="false">
      <c r="A31" s="5" t="s">
        <v>361</v>
      </c>
      <c r="B31" s="6" t="s">
        <v>362</v>
      </c>
      <c r="C31" s="7" t="s">
        <v>325</v>
      </c>
      <c r="D31" s="6" t="s">
        <v>363</v>
      </c>
    </row>
    <row r="32" customFormat="false" ht="23.25" hidden="false" customHeight="true" outlineLevel="0" collapsed="false">
      <c r="A32" s="5" t="s">
        <v>364</v>
      </c>
      <c r="B32" s="6" t="s">
        <v>365</v>
      </c>
      <c r="C32" s="7" t="s">
        <v>325</v>
      </c>
      <c r="D32" s="6" t="s">
        <v>366</v>
      </c>
    </row>
    <row r="33" customFormat="false" ht="15" hidden="false" customHeight="true" outlineLevel="0" collapsed="false">
      <c r="A33" s="5" t="s">
        <v>367</v>
      </c>
      <c r="B33" s="6" t="s">
        <v>368</v>
      </c>
      <c r="C33" s="7" t="s">
        <v>325</v>
      </c>
      <c r="D33" s="6" t="s">
        <v>363</v>
      </c>
    </row>
    <row r="34" customFormat="false" ht="23.25" hidden="false" customHeight="true" outlineLevel="0" collapsed="false">
      <c r="A34" s="5" t="s">
        <v>369</v>
      </c>
      <c r="B34" s="6" t="s">
        <v>370</v>
      </c>
      <c r="C34" s="6" t="s">
        <v>371</v>
      </c>
      <c r="D34" s="6" t="s">
        <v>372</v>
      </c>
    </row>
    <row r="35" customFormat="false" ht="15" hidden="false" customHeight="true" outlineLevel="0" collapsed="false">
      <c r="A35" s="5" t="s">
        <v>373</v>
      </c>
      <c r="B35" s="6" t="s">
        <v>374</v>
      </c>
      <c r="C35" s="7" t="s">
        <v>325</v>
      </c>
      <c r="D35" s="6" t="s">
        <v>375</v>
      </c>
    </row>
    <row r="36" customFormat="false" ht="34.5" hidden="false" customHeight="true" outlineLevel="0" collapsed="false">
      <c r="A36" s="5" t="s">
        <v>287</v>
      </c>
      <c r="B36" s="6" t="s">
        <v>376</v>
      </c>
      <c r="C36" s="6" t="s">
        <v>286</v>
      </c>
      <c r="D36" s="6" t="s">
        <v>377</v>
      </c>
    </row>
    <row r="37" customFormat="false" ht="23.25" hidden="false" customHeight="true" outlineLevel="0" collapsed="false">
      <c r="A37" s="5" t="s">
        <v>378</v>
      </c>
      <c r="B37" s="6" t="s">
        <v>379</v>
      </c>
      <c r="C37" s="7" t="s">
        <v>325</v>
      </c>
      <c r="D37" s="6" t="s">
        <v>380</v>
      </c>
    </row>
    <row r="38" customFormat="false" ht="15" hidden="false" customHeight="true" outlineLevel="0" collapsed="false">
      <c r="A38" s="5" t="s">
        <v>221</v>
      </c>
      <c r="B38" s="6" t="s">
        <v>381</v>
      </c>
      <c r="C38" s="6" t="s">
        <v>382</v>
      </c>
      <c r="D38" s="6"/>
    </row>
    <row r="39" customFormat="false" ht="15" hidden="false" customHeight="true" outlineLevel="0" collapsed="false">
      <c r="A39" s="5" t="s">
        <v>383</v>
      </c>
      <c r="B39" s="6" t="s">
        <v>384</v>
      </c>
      <c r="C39" s="6" t="s">
        <v>262</v>
      </c>
      <c r="D39" s="6" t="s">
        <v>385</v>
      </c>
    </row>
    <row r="40" customFormat="false" ht="23.25" hidden="false" customHeight="true" outlineLevel="0" collapsed="false">
      <c r="A40" s="5" t="s">
        <v>386</v>
      </c>
      <c r="B40" s="6" t="s">
        <v>387</v>
      </c>
      <c r="C40" s="7" t="s">
        <v>325</v>
      </c>
      <c r="D40" s="6" t="s">
        <v>388</v>
      </c>
    </row>
    <row r="41" customFormat="false" ht="15" hidden="false" customHeight="true" outlineLevel="0" collapsed="false">
      <c r="A41" s="5" t="s">
        <v>282</v>
      </c>
      <c r="B41" s="6" t="s">
        <v>389</v>
      </c>
      <c r="C41" s="6" t="s">
        <v>281</v>
      </c>
      <c r="D41" s="6"/>
    </row>
    <row r="42" customFormat="false" ht="23.25" hidden="false" customHeight="true" outlineLevel="0" collapsed="false">
      <c r="A42" s="5" t="s">
        <v>390</v>
      </c>
      <c r="B42" s="6" t="s">
        <v>391</v>
      </c>
      <c r="C42" s="7" t="s">
        <v>325</v>
      </c>
      <c r="D42" s="6" t="s">
        <v>392</v>
      </c>
    </row>
    <row r="43" customFormat="false" ht="23.25" hidden="false" customHeight="true" outlineLevel="0" collapsed="false">
      <c r="A43" s="5" t="s">
        <v>393</v>
      </c>
      <c r="B43" s="6" t="s">
        <v>394</v>
      </c>
      <c r="C43" s="7" t="s">
        <v>325</v>
      </c>
      <c r="D43" s="6" t="s">
        <v>395</v>
      </c>
    </row>
    <row r="45" customFormat="false" ht="15" hidden="false" customHeight="true" outlineLevel="0" collapsed="false">
      <c r="A45" s="8" t="s">
        <v>396</v>
      </c>
    </row>
    <row r="46" customFormat="false" ht="15" hidden="false" customHeight="true" outlineLevel="0" collapsed="false">
      <c r="A46" s="9" t="s">
        <v>397</v>
      </c>
      <c r="B46" s="10" t="n">
        <f aca="false">COUNTA('Test cases'!A5:A59)</f>
        <v>55</v>
      </c>
    </row>
    <row r="47" customFormat="false" ht="15" hidden="false" customHeight="true" outlineLevel="0" collapsed="false">
      <c r="A47" s="9" t="s">
        <v>398</v>
      </c>
      <c r="B47" s="10" t="n">
        <f aca="false">COUNTIF('Test cases'!I5:I59,"позитивний")</f>
        <v>42</v>
      </c>
    </row>
    <row r="48" customFormat="false" ht="15" hidden="false" customHeight="true" outlineLevel="0" collapsed="false">
      <c r="A48" s="9" t="s">
        <v>399</v>
      </c>
      <c r="B48" s="10" t="n">
        <f aca="false">COUNTIF('Test cases'!I5:I59,"негативний")</f>
        <v>13</v>
      </c>
    </row>
    <row r="49" customFormat="false" ht="15" hidden="false" customHeight="true" outlineLevel="0" collapsed="false">
      <c r="A49" s="9" t="s">
        <v>400</v>
      </c>
      <c r="B49" s="10" t="n">
        <f aca="false">COUNTA(A4:A43)-1</f>
        <v>39</v>
      </c>
    </row>
    <row r="50" customFormat="false" ht="15" hidden="false" customHeight="true" outlineLevel="0" collapsed="false">
      <c r="A50" s="9" t="s">
        <v>401</v>
      </c>
      <c r="B50" s="10" t="n">
        <f aca="false">COUNTIF(C4:C43,"TC-*")</f>
        <v>28</v>
      </c>
    </row>
    <row r="51" customFormat="false" ht="15" hidden="false" customHeight="true" outlineLevel="0" collapsed="false">
      <c r="A51" s="9" t="s">
        <v>402</v>
      </c>
      <c r="B51" s="10" t="n">
        <f aca="false">B49-B50</f>
        <v>11</v>
      </c>
    </row>
    <row r="52" customFormat="false" ht="15" hidden="false" customHeight="true" outlineLevel="0" collapsed="false">
      <c r="A52" s="9" t="s">
        <v>403</v>
      </c>
      <c r="B52" s="10" t="n">
        <f aca="false">COUNTIF(A4:A43,"F-*")+COUNTIF(A4:A43,"GUI-*")</f>
        <v>24</v>
      </c>
    </row>
    <row r="53" customFormat="false" ht="15" hidden="false" customHeight="true" outlineLevel="0" collapsed="false">
      <c r="A53" s="9" t="s">
        <v>404</v>
      </c>
      <c r="B53" s="10" t="n">
        <f aca="false">COUNTIFS(A4:A43,"F-*",C4:C43,"TC-*")+COUNTIFS(A4:A43,"GUI-*",C4:C43,"TC-*")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50"/>
    <col collapsed="false" customWidth="true" hidden="false" outlineLevel="0" max="5" min="5" style="1" width="44"/>
    <col collapsed="false" customWidth="true" hidden="false" outlineLevel="0" max="6" min="6" style="1" width="40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" t="s">
        <v>405</v>
      </c>
    </row>
    <row r="2" customFormat="false" ht="15" hidden="false" customHeight="true" outlineLevel="0" collapsed="false">
      <c r="A2" s="3" t="s">
        <v>406</v>
      </c>
    </row>
    <row r="4" customFormat="false" ht="15" hidden="false" customHeight="true" outlineLevel="0" collapsed="false">
      <c r="A4" s="4" t="s">
        <v>407</v>
      </c>
      <c r="B4" s="4" t="s">
        <v>408</v>
      </c>
      <c r="C4" s="4" t="s">
        <v>409</v>
      </c>
      <c r="D4" s="4" t="s">
        <v>410</v>
      </c>
      <c r="E4" s="4" t="s">
        <v>411</v>
      </c>
      <c r="F4" s="4" t="s">
        <v>7</v>
      </c>
      <c r="G4" s="4" t="s">
        <v>412</v>
      </c>
    </row>
    <row r="5" customFormat="false" ht="15" hidden="false" customHeight="true" outlineLevel="0" collapsed="false">
      <c r="A5" s="6" t="s">
        <v>413</v>
      </c>
      <c r="B5" s="6" t="s">
        <v>414</v>
      </c>
      <c r="C5" s="6" t="s">
        <v>415</v>
      </c>
      <c r="D5" s="6" t="s">
        <v>416</v>
      </c>
      <c r="E5" s="6" t="s">
        <v>417</v>
      </c>
      <c r="F5" s="6" t="s">
        <v>418</v>
      </c>
      <c r="G5" s="5" t="s">
        <v>143</v>
      </c>
    </row>
    <row r="6" customFormat="false" ht="15" hidden="false" customHeight="true" outlineLevel="0" collapsed="false">
      <c r="A6" s="6" t="s">
        <v>413</v>
      </c>
      <c r="B6" s="6" t="s">
        <v>414</v>
      </c>
      <c r="C6" s="6" t="s">
        <v>419</v>
      </c>
      <c r="D6" s="6" t="s">
        <v>420</v>
      </c>
      <c r="E6" s="6" t="s">
        <v>421</v>
      </c>
      <c r="F6" s="6" t="s">
        <v>422</v>
      </c>
      <c r="G6" s="5" t="s">
        <v>148</v>
      </c>
    </row>
    <row r="7" customFormat="false" ht="15" hidden="false" customHeight="true" outlineLevel="0" collapsed="false">
      <c r="A7" s="6" t="s">
        <v>413</v>
      </c>
      <c r="B7" s="6" t="s">
        <v>414</v>
      </c>
      <c r="C7" s="6" t="s">
        <v>419</v>
      </c>
      <c r="D7" s="6" t="s">
        <v>423</v>
      </c>
      <c r="E7" s="6" t="s">
        <v>424</v>
      </c>
      <c r="F7" s="6" t="s">
        <v>422</v>
      </c>
      <c r="G7" s="5" t="s">
        <v>153</v>
      </c>
    </row>
    <row r="8" customFormat="false" ht="15" hidden="false" customHeight="true" outlineLevel="0" collapsed="false">
      <c r="A8" s="6" t="s">
        <v>413</v>
      </c>
      <c r="B8" s="6" t="s">
        <v>414</v>
      </c>
      <c r="C8" s="6" t="s">
        <v>415</v>
      </c>
      <c r="D8" s="6" t="s">
        <v>425</v>
      </c>
      <c r="E8" s="6" t="s">
        <v>426</v>
      </c>
      <c r="F8" s="6" t="s">
        <v>418</v>
      </c>
      <c r="G8" s="5" t="s">
        <v>158</v>
      </c>
    </row>
    <row r="9" customFormat="false" ht="15" hidden="false" customHeight="true" outlineLevel="0" collapsed="false">
      <c r="A9" s="6" t="s">
        <v>427</v>
      </c>
      <c r="B9" s="6" t="s">
        <v>428</v>
      </c>
      <c r="C9" s="6" t="s">
        <v>429</v>
      </c>
      <c r="D9" s="6" t="s">
        <v>430</v>
      </c>
      <c r="E9" s="6" t="s">
        <v>431</v>
      </c>
      <c r="F9" s="6" t="s">
        <v>432</v>
      </c>
      <c r="G9" s="5" t="s">
        <v>162</v>
      </c>
    </row>
    <row r="10" customFormat="false" ht="15" hidden="false" customHeight="true" outlineLevel="0" collapsed="false">
      <c r="A10" s="6" t="s">
        <v>427</v>
      </c>
      <c r="B10" s="6" t="s">
        <v>428</v>
      </c>
      <c r="C10" s="6" t="s">
        <v>433</v>
      </c>
      <c r="D10" s="6" t="s">
        <v>434</v>
      </c>
      <c r="E10" s="6" t="s">
        <v>435</v>
      </c>
      <c r="F10" s="6" t="s">
        <v>422</v>
      </c>
      <c r="G10" s="5" t="s">
        <v>166</v>
      </c>
    </row>
    <row r="11" customFormat="false" ht="15" hidden="false" customHeight="true" outlineLevel="0" collapsed="false">
      <c r="A11" s="6" t="s">
        <v>427</v>
      </c>
      <c r="B11" s="6" t="s">
        <v>428</v>
      </c>
      <c r="C11" s="6" t="s">
        <v>433</v>
      </c>
      <c r="D11" s="6" t="s">
        <v>436</v>
      </c>
      <c r="E11" s="6" t="s">
        <v>437</v>
      </c>
      <c r="F11" s="6" t="s">
        <v>422</v>
      </c>
      <c r="G11" s="5" t="s">
        <v>170</v>
      </c>
    </row>
    <row r="12" customFormat="false" ht="15" hidden="false" customHeight="true" outlineLevel="0" collapsed="false">
      <c r="A12" s="6" t="s">
        <v>427</v>
      </c>
      <c r="B12" s="6" t="s">
        <v>428</v>
      </c>
      <c r="C12" s="6" t="s">
        <v>429</v>
      </c>
      <c r="D12" s="6" t="s">
        <v>438</v>
      </c>
      <c r="E12" s="6" t="s">
        <v>439</v>
      </c>
      <c r="F12" s="6" t="s">
        <v>432</v>
      </c>
      <c r="G12" s="5" t="s">
        <v>174</v>
      </c>
    </row>
    <row r="13" customFormat="false" ht="15" hidden="false" customHeight="true" outlineLevel="0" collapsed="false">
      <c r="A13" s="6" t="s">
        <v>440</v>
      </c>
      <c r="B13" s="6" t="s">
        <v>441</v>
      </c>
      <c r="C13" s="6" t="s">
        <v>442</v>
      </c>
      <c r="D13" s="6" t="s">
        <v>443</v>
      </c>
      <c r="E13" s="6" t="s">
        <v>444</v>
      </c>
      <c r="F13" s="6" t="s">
        <v>445</v>
      </c>
      <c r="G13" s="5" t="s">
        <v>178</v>
      </c>
    </row>
    <row r="14" customFormat="false" ht="15" hidden="false" customHeight="true" outlineLevel="0" collapsed="false">
      <c r="A14" s="6" t="s">
        <v>440</v>
      </c>
      <c r="B14" s="6" t="s">
        <v>441</v>
      </c>
      <c r="C14" s="6" t="s">
        <v>446</v>
      </c>
      <c r="D14" s="6" t="s">
        <v>447</v>
      </c>
      <c r="E14" s="6" t="s">
        <v>448</v>
      </c>
      <c r="F14" s="6" t="s">
        <v>422</v>
      </c>
      <c r="G14" s="5" t="s">
        <v>182</v>
      </c>
    </row>
    <row r="15" customFormat="false" ht="15" hidden="false" customHeight="true" outlineLevel="0" collapsed="false">
      <c r="A15" s="6" t="s">
        <v>440</v>
      </c>
      <c r="B15" s="6" t="s">
        <v>441</v>
      </c>
      <c r="C15" s="6" t="s">
        <v>446</v>
      </c>
      <c r="D15" s="6" t="s">
        <v>449</v>
      </c>
      <c r="E15" s="6" t="s">
        <v>450</v>
      </c>
      <c r="F15" s="6" t="s">
        <v>422</v>
      </c>
      <c r="G15" s="5" t="s">
        <v>186</v>
      </c>
    </row>
    <row r="16" customFormat="false" ht="15" hidden="false" customHeight="true" outlineLevel="0" collapsed="false">
      <c r="A16" s="6" t="s">
        <v>440</v>
      </c>
      <c r="B16" s="6" t="s">
        <v>441</v>
      </c>
      <c r="C16" s="6" t="s">
        <v>442</v>
      </c>
      <c r="D16" s="6" t="s">
        <v>451</v>
      </c>
      <c r="E16" s="6" t="s">
        <v>452</v>
      </c>
      <c r="F16" s="6" t="s">
        <v>445</v>
      </c>
      <c r="G16" s="5" t="s">
        <v>189</v>
      </c>
    </row>
    <row r="17" customFormat="false" ht="15" hidden="false" customHeight="true" outlineLevel="0" collapsed="false">
      <c r="A17" s="6" t="s">
        <v>413</v>
      </c>
      <c r="B17" s="6" t="s">
        <v>453</v>
      </c>
      <c r="C17" s="6" t="s">
        <v>454</v>
      </c>
      <c r="D17" s="6" t="s">
        <v>455</v>
      </c>
      <c r="E17" s="6" t="s">
        <v>456</v>
      </c>
      <c r="F17" s="6" t="s">
        <v>418</v>
      </c>
      <c r="G17" s="5" t="s">
        <v>138</v>
      </c>
    </row>
    <row r="18" customFormat="false" ht="15" hidden="false" customHeight="true" outlineLevel="0" collapsed="false">
      <c r="A18" s="6" t="s">
        <v>457</v>
      </c>
      <c r="B18" s="6" t="s">
        <v>458</v>
      </c>
      <c r="C18" s="6" t="s">
        <v>459</v>
      </c>
      <c r="D18" s="6" t="s">
        <v>460</v>
      </c>
      <c r="E18" s="6" t="s">
        <v>461</v>
      </c>
      <c r="F18" s="6" t="s">
        <v>462</v>
      </c>
      <c r="G18" s="5" t="s">
        <v>88</v>
      </c>
    </row>
    <row r="19" customFormat="false" ht="15" hidden="false" customHeight="true" outlineLevel="0" collapsed="false">
      <c r="A19" s="6" t="s">
        <v>457</v>
      </c>
      <c r="B19" s="6" t="s">
        <v>458</v>
      </c>
      <c r="C19" s="6" t="s">
        <v>459</v>
      </c>
      <c r="D19" s="6" t="s">
        <v>463</v>
      </c>
      <c r="E19" s="6" t="s">
        <v>464</v>
      </c>
      <c r="F19" s="6" t="s">
        <v>465</v>
      </c>
      <c r="G19" s="5" t="s">
        <v>92</v>
      </c>
    </row>
    <row r="20" customFormat="false" ht="23.25" hidden="false" customHeight="true" outlineLevel="0" collapsed="false">
      <c r="A20" s="6" t="s">
        <v>466</v>
      </c>
      <c r="B20" s="6" t="s">
        <v>467</v>
      </c>
      <c r="C20" s="6" t="s">
        <v>468</v>
      </c>
      <c r="D20" s="6" t="s">
        <v>469</v>
      </c>
      <c r="E20" s="6" t="s">
        <v>470</v>
      </c>
      <c r="F20" s="6" t="s">
        <v>471</v>
      </c>
      <c r="G20" s="5" t="s">
        <v>21</v>
      </c>
    </row>
    <row r="21" customFormat="false" ht="23.25" hidden="false" customHeight="true" outlineLevel="0" collapsed="false">
      <c r="A21" s="6" t="s">
        <v>472</v>
      </c>
      <c r="B21" s="6" t="s">
        <v>473</v>
      </c>
      <c r="C21" s="6" t="s">
        <v>468</v>
      </c>
      <c r="D21" s="6" t="s">
        <v>474</v>
      </c>
      <c r="E21" s="6" t="s">
        <v>475</v>
      </c>
      <c r="F21" s="6" t="s">
        <v>476</v>
      </c>
      <c r="G21" s="5" t="s">
        <v>21</v>
      </c>
    </row>
    <row r="23" customFormat="false" ht="15" hidden="false" customHeight="false" outlineLevel="0" collapsed="false">
      <c r="A23" s="11" t="s">
        <v>477</v>
      </c>
    </row>
    <row r="24" customFormat="false" ht="15" hidden="false" customHeight="false" outlineLevel="0" collapsed="false">
      <c r="A24" s="4" t="s">
        <v>478</v>
      </c>
      <c r="B24" s="4" t="s">
        <v>479</v>
      </c>
      <c r="C24" s="4" t="s">
        <v>480</v>
      </c>
    </row>
    <row r="25" customFormat="false" ht="15" hidden="false" customHeight="false" outlineLevel="0" collapsed="false">
      <c r="A25" s="6" t="s">
        <v>481</v>
      </c>
      <c r="B25" s="6" t="s">
        <v>482</v>
      </c>
      <c r="C25" s="6" t="s">
        <v>483</v>
      </c>
    </row>
    <row r="26" customFormat="false" ht="15" hidden="false" customHeight="false" outlineLevel="0" collapsed="false">
      <c r="A26" s="6" t="s">
        <v>484</v>
      </c>
      <c r="B26" s="6" t="s">
        <v>485</v>
      </c>
      <c r="C26" s="6" t="s">
        <v>486</v>
      </c>
    </row>
    <row r="27" customFormat="false" ht="15" hidden="false" customHeight="false" outlineLevel="0" collapsed="false">
      <c r="A27" s="6" t="s">
        <v>487</v>
      </c>
      <c r="B27" s="6" t="s">
        <v>488</v>
      </c>
      <c r="C27" s="6" t="s">
        <v>489</v>
      </c>
    </row>
    <row r="28" customFormat="false" ht="15" hidden="false" customHeight="false" outlineLevel="0" collapsed="false">
      <c r="A28" s="6" t="s">
        <v>490</v>
      </c>
      <c r="B28" s="6" t="s">
        <v>491</v>
      </c>
      <c r="C28" s="6" t="s">
        <v>492</v>
      </c>
    </row>
    <row r="29" customFormat="false" ht="15" hidden="false" customHeight="false" outlineLevel="0" collapsed="false">
      <c r="A29" s="6" t="s">
        <v>493</v>
      </c>
      <c r="B29" s="6" t="s">
        <v>494</v>
      </c>
      <c r="C29" s="6" t="s">
        <v>495</v>
      </c>
    </row>
    <row r="30" customFormat="false" ht="15" hidden="false" customHeight="false" outlineLevel="0" collapsed="false">
      <c r="A30" s="6" t="s">
        <v>496</v>
      </c>
      <c r="B30" s="6" t="s">
        <v>497</v>
      </c>
      <c r="C30" s="6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5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2" t="s">
        <v>499</v>
      </c>
    </row>
    <row r="3" customFormat="false" ht="28.35" hidden="false" customHeight="false" outlineLevel="0" collapsed="false">
      <c r="A3" s="13" t="s">
        <v>500</v>
      </c>
      <c r="B3" s="13" t="s">
        <v>12</v>
      </c>
      <c r="C3" s="13" t="s">
        <v>501</v>
      </c>
      <c r="D3" s="13" t="s">
        <v>502</v>
      </c>
      <c r="E3" s="13" t="s">
        <v>503</v>
      </c>
      <c r="F3" s="13" t="s">
        <v>504</v>
      </c>
    </row>
    <row r="4" customFormat="false" ht="15" hidden="false" customHeight="false" outlineLevel="0" collapsed="false">
      <c r="A4" s="14" t="s">
        <v>15</v>
      </c>
      <c r="B4" s="14" t="s">
        <v>25</v>
      </c>
      <c r="C4" s="14" t="s">
        <v>26</v>
      </c>
      <c r="D4" s="14" t="s">
        <v>505</v>
      </c>
      <c r="E4" s="14" t="s">
        <v>21</v>
      </c>
    </row>
    <row r="5" customFormat="false" ht="15" hidden="false" customHeight="false" outlineLevel="0" collapsed="false">
      <c r="A5" s="14" t="s">
        <v>28</v>
      </c>
      <c r="B5" s="14" t="s">
        <v>25</v>
      </c>
      <c r="C5" s="14" t="s">
        <v>26</v>
      </c>
      <c r="D5" s="14" t="s">
        <v>505</v>
      </c>
      <c r="E5" s="14" t="s">
        <v>21</v>
      </c>
    </row>
    <row r="6" customFormat="false" ht="15" hidden="false" customHeight="false" outlineLevel="0" collapsed="false">
      <c r="A6" s="14" t="s">
        <v>32</v>
      </c>
      <c r="B6" s="14" t="s">
        <v>25</v>
      </c>
      <c r="C6" s="14" t="s">
        <v>26</v>
      </c>
      <c r="D6" s="14" t="s">
        <v>505</v>
      </c>
      <c r="E6" s="14" t="s">
        <v>21</v>
      </c>
    </row>
    <row r="7" customFormat="false" ht="28.35" hidden="false" customHeight="false" outlineLevel="0" collapsed="false">
      <c r="A7" s="14" t="s">
        <v>36</v>
      </c>
      <c r="B7" s="14" t="s">
        <v>25</v>
      </c>
      <c r="C7" s="14" t="s">
        <v>26</v>
      </c>
      <c r="D7" s="15" t="s">
        <v>506</v>
      </c>
      <c r="E7" s="14" t="s">
        <v>507</v>
      </c>
      <c r="F7" s="14" t="s">
        <v>508</v>
      </c>
    </row>
    <row r="8" customFormat="false" ht="15" hidden="false" customHeight="false" outlineLevel="0" collapsed="false">
      <c r="A8" s="14" t="s">
        <v>43</v>
      </c>
      <c r="B8" s="14" t="s">
        <v>25</v>
      </c>
      <c r="C8" s="14" t="s">
        <v>26</v>
      </c>
      <c r="D8" s="14" t="s">
        <v>505</v>
      </c>
      <c r="E8" s="14" t="s">
        <v>21</v>
      </c>
    </row>
    <row r="9" customFormat="false" ht="28.35" hidden="false" customHeight="false" outlineLevel="0" collapsed="false">
      <c r="A9" s="14" t="s">
        <v>48</v>
      </c>
      <c r="B9" s="14" t="s">
        <v>25</v>
      </c>
      <c r="C9" s="14" t="s">
        <v>26</v>
      </c>
      <c r="D9" s="15" t="s">
        <v>509</v>
      </c>
      <c r="E9" s="14" t="s">
        <v>507</v>
      </c>
      <c r="F9" s="14" t="s">
        <v>510</v>
      </c>
    </row>
    <row r="10" customFormat="false" ht="41.75" hidden="false" customHeight="false" outlineLevel="0" collapsed="false">
      <c r="A10" s="14" t="s">
        <v>54</v>
      </c>
      <c r="B10" s="14" t="s">
        <v>25</v>
      </c>
      <c r="C10" s="14" t="s">
        <v>26</v>
      </c>
      <c r="D10" s="15" t="s">
        <v>511</v>
      </c>
      <c r="E10" s="14" t="s">
        <v>507</v>
      </c>
      <c r="F10" s="14" t="s">
        <v>512</v>
      </c>
    </row>
    <row r="11" customFormat="false" ht="55.2" hidden="false" customHeight="false" outlineLevel="0" collapsed="false">
      <c r="A11" s="14" t="s">
        <v>59</v>
      </c>
      <c r="B11" s="14" t="s">
        <v>25</v>
      </c>
      <c r="C11" s="14" t="s">
        <v>26</v>
      </c>
      <c r="D11" s="15" t="s">
        <v>513</v>
      </c>
      <c r="E11" s="14" t="s">
        <v>507</v>
      </c>
      <c r="F11" s="14" t="s">
        <v>514</v>
      </c>
    </row>
    <row r="12" customFormat="false" ht="55.2" hidden="false" customHeight="false" outlineLevel="0" collapsed="false">
      <c r="A12" s="14" t="s">
        <v>64</v>
      </c>
      <c r="B12" s="14" t="s">
        <v>25</v>
      </c>
      <c r="C12" s="14" t="s">
        <v>26</v>
      </c>
      <c r="D12" s="15" t="s">
        <v>515</v>
      </c>
      <c r="E12" s="14" t="s">
        <v>507</v>
      </c>
      <c r="F12" s="14" t="s">
        <v>516</v>
      </c>
    </row>
    <row r="13" customFormat="false" ht="15" hidden="false" customHeight="false" outlineLevel="0" collapsed="false">
      <c r="A13" s="14" t="s">
        <v>72</v>
      </c>
      <c r="B13" s="14" t="s">
        <v>25</v>
      </c>
      <c r="C13" s="14" t="s">
        <v>26</v>
      </c>
      <c r="D13" s="15" t="s">
        <v>517</v>
      </c>
      <c r="E13" s="14" t="s">
        <v>507</v>
      </c>
      <c r="F13" s="14" t="s">
        <v>518</v>
      </c>
    </row>
    <row r="14" customFormat="false" ht="41.75" hidden="false" customHeight="false" outlineLevel="0" collapsed="false">
      <c r="A14" s="14" t="s">
        <v>78</v>
      </c>
      <c r="B14" s="14" t="s">
        <v>25</v>
      </c>
      <c r="C14" s="14" t="s">
        <v>26</v>
      </c>
      <c r="D14" s="15" t="s">
        <v>519</v>
      </c>
      <c r="E14" s="14" t="s">
        <v>507</v>
      </c>
      <c r="F14" s="14" t="s">
        <v>520</v>
      </c>
    </row>
    <row r="15" customFormat="false" ht="28.35" hidden="false" customHeight="false" outlineLevel="0" collapsed="false">
      <c r="A15" s="14" t="s">
        <v>83</v>
      </c>
      <c r="B15" s="14" t="s">
        <v>25</v>
      </c>
      <c r="C15" s="14" t="s">
        <v>26</v>
      </c>
      <c r="D15" s="15" t="s">
        <v>521</v>
      </c>
      <c r="E15" s="14" t="s">
        <v>507</v>
      </c>
      <c r="F15" s="14" t="s">
        <v>522</v>
      </c>
    </row>
    <row r="16" customFormat="false" ht="28.35" hidden="false" customHeight="false" outlineLevel="0" collapsed="false">
      <c r="A16" s="14" t="s">
        <v>88</v>
      </c>
      <c r="B16" s="14" t="s">
        <v>25</v>
      </c>
      <c r="C16" s="14" t="s">
        <v>26</v>
      </c>
      <c r="D16" s="15" t="s">
        <v>523</v>
      </c>
      <c r="E16" s="14" t="s">
        <v>507</v>
      </c>
      <c r="F16" s="14" t="s">
        <v>524</v>
      </c>
    </row>
    <row r="17" customFormat="false" ht="28.35" hidden="false" customHeight="false" outlineLevel="0" collapsed="false">
      <c r="A17" s="14" t="s">
        <v>92</v>
      </c>
      <c r="B17" s="14" t="s">
        <v>25</v>
      </c>
      <c r="C17" s="14" t="s">
        <v>26</v>
      </c>
      <c r="D17" s="15" t="s">
        <v>511</v>
      </c>
      <c r="E17" s="14" t="s">
        <v>507</v>
      </c>
      <c r="F17" s="14" t="s">
        <v>525</v>
      </c>
    </row>
    <row r="18" customFormat="false" ht="28.35" hidden="false" customHeight="false" outlineLevel="0" collapsed="false">
      <c r="A18" s="14" t="s">
        <v>96</v>
      </c>
      <c r="B18" s="14" t="s">
        <v>25</v>
      </c>
      <c r="C18" s="14" t="s">
        <v>26</v>
      </c>
      <c r="D18" s="15" t="s">
        <v>526</v>
      </c>
      <c r="E18" s="14" t="s">
        <v>507</v>
      </c>
      <c r="F18" s="14" t="s">
        <v>527</v>
      </c>
    </row>
    <row r="19" customFormat="false" ht="28.35" hidden="false" customHeight="false" outlineLevel="0" collapsed="false">
      <c r="A19" s="14" t="s">
        <v>101</v>
      </c>
      <c r="B19" s="14" t="s">
        <v>25</v>
      </c>
      <c r="C19" s="14" t="s">
        <v>26</v>
      </c>
      <c r="D19" s="15" t="s">
        <v>511</v>
      </c>
      <c r="E19" s="14" t="s">
        <v>507</v>
      </c>
      <c r="F19" s="14" t="s">
        <v>528</v>
      </c>
    </row>
    <row r="20" customFormat="false" ht="28.35" hidden="false" customHeight="false" outlineLevel="0" collapsed="false">
      <c r="A20" s="14" t="s">
        <v>108</v>
      </c>
      <c r="B20" s="14" t="s">
        <v>25</v>
      </c>
      <c r="C20" s="14" t="s">
        <v>26</v>
      </c>
      <c r="D20" s="15" t="s">
        <v>511</v>
      </c>
      <c r="E20" s="14" t="s">
        <v>507</v>
      </c>
      <c r="F20" s="14" t="s">
        <v>528</v>
      </c>
    </row>
    <row r="21" customFormat="false" ht="41.75" hidden="false" customHeight="false" outlineLevel="0" collapsed="false">
      <c r="A21" s="14" t="s">
        <v>113</v>
      </c>
      <c r="B21" s="14" t="s">
        <v>25</v>
      </c>
      <c r="C21" s="14" t="s">
        <v>26</v>
      </c>
      <c r="D21" s="15" t="s">
        <v>529</v>
      </c>
      <c r="E21" s="14" t="s">
        <v>507</v>
      </c>
      <c r="F21" s="14" t="s">
        <v>530</v>
      </c>
    </row>
    <row r="22" customFormat="false" ht="28.35" hidden="false" customHeight="false" outlineLevel="0" collapsed="false">
      <c r="A22" s="14" t="s">
        <v>117</v>
      </c>
      <c r="B22" s="14" t="s">
        <v>25</v>
      </c>
      <c r="C22" s="14" t="s">
        <v>26</v>
      </c>
      <c r="D22" s="15" t="s">
        <v>511</v>
      </c>
      <c r="E22" s="14" t="s">
        <v>507</v>
      </c>
      <c r="F22" s="14" t="s">
        <v>528</v>
      </c>
    </row>
    <row r="23" customFormat="false" ht="28.35" hidden="false" customHeight="false" outlineLevel="0" collapsed="false">
      <c r="A23" s="14" t="s">
        <v>122</v>
      </c>
      <c r="B23" s="14" t="s">
        <v>25</v>
      </c>
      <c r="C23" s="14" t="s">
        <v>26</v>
      </c>
      <c r="D23" s="15" t="s">
        <v>511</v>
      </c>
      <c r="E23" s="14" t="s">
        <v>507</v>
      </c>
      <c r="F23" s="14" t="s">
        <v>528</v>
      </c>
    </row>
    <row r="24" customFormat="false" ht="15" hidden="false" customHeight="false" outlineLevel="0" collapsed="false">
      <c r="A24" s="14" t="s">
        <v>127</v>
      </c>
      <c r="B24" s="14" t="s">
        <v>25</v>
      </c>
      <c r="C24" s="14" t="s">
        <v>26</v>
      </c>
      <c r="D24" s="14" t="s">
        <v>505</v>
      </c>
      <c r="E24" s="14" t="s">
        <v>21</v>
      </c>
    </row>
    <row r="25" customFormat="false" ht="15" hidden="false" customHeight="false" outlineLevel="0" collapsed="false">
      <c r="A25" s="14" t="s">
        <v>133</v>
      </c>
      <c r="B25" s="14" t="s">
        <v>25</v>
      </c>
      <c r="C25" s="14" t="s">
        <v>26</v>
      </c>
      <c r="D25" s="14" t="s">
        <v>505</v>
      </c>
      <c r="E25" s="14" t="s">
        <v>21</v>
      </c>
    </row>
    <row r="26" customFormat="false" ht="15" hidden="false" customHeight="false" outlineLevel="0" collapsed="false">
      <c r="A26" s="14" t="s">
        <v>138</v>
      </c>
      <c r="B26" s="14" t="s">
        <v>25</v>
      </c>
      <c r="C26" s="14" t="s">
        <v>26</v>
      </c>
      <c r="D26" s="14" t="s">
        <v>505</v>
      </c>
      <c r="E26" s="14" t="s">
        <v>21</v>
      </c>
    </row>
    <row r="27" customFormat="false" ht="15" hidden="false" customHeight="false" outlineLevel="0" collapsed="false">
      <c r="A27" s="14" t="s">
        <v>143</v>
      </c>
      <c r="B27" s="14" t="s">
        <v>25</v>
      </c>
      <c r="C27" s="14" t="s">
        <v>26</v>
      </c>
      <c r="D27" s="14" t="s">
        <v>505</v>
      </c>
      <c r="E27" s="14" t="s">
        <v>21</v>
      </c>
      <c r="F27" s="14" t="s">
        <v>531</v>
      </c>
    </row>
    <row r="28" customFormat="false" ht="15" hidden="false" customHeight="false" outlineLevel="0" collapsed="false">
      <c r="A28" s="14" t="s">
        <v>148</v>
      </c>
      <c r="B28" s="14" t="s">
        <v>25</v>
      </c>
      <c r="C28" s="14" t="s">
        <v>26</v>
      </c>
      <c r="D28" s="14" t="s">
        <v>505</v>
      </c>
      <c r="E28" s="14" t="s">
        <v>21</v>
      </c>
      <c r="F28" s="14" t="s">
        <v>531</v>
      </c>
    </row>
    <row r="29" customFormat="false" ht="41.75" hidden="false" customHeight="false" outlineLevel="0" collapsed="false">
      <c r="A29" s="14" t="s">
        <v>153</v>
      </c>
      <c r="B29" s="14" t="s">
        <v>25</v>
      </c>
      <c r="C29" s="14" t="s">
        <v>26</v>
      </c>
      <c r="D29" s="15" t="s">
        <v>532</v>
      </c>
      <c r="E29" s="14" t="s">
        <v>507</v>
      </c>
      <c r="F29" s="14" t="s">
        <v>533</v>
      </c>
    </row>
    <row r="30" customFormat="false" ht="15" hidden="false" customHeight="false" outlineLevel="0" collapsed="false">
      <c r="A30" s="14" t="s">
        <v>158</v>
      </c>
      <c r="B30" s="14" t="s">
        <v>25</v>
      </c>
      <c r="C30" s="14" t="s">
        <v>26</v>
      </c>
      <c r="D30" s="15" t="s">
        <v>534</v>
      </c>
      <c r="E30" s="14" t="s">
        <v>507</v>
      </c>
      <c r="F30" s="14" t="s">
        <v>535</v>
      </c>
    </row>
    <row r="31" customFormat="false" ht="15" hidden="false" customHeight="false" outlineLevel="0" collapsed="false">
      <c r="A31" s="14" t="s">
        <v>162</v>
      </c>
      <c r="B31" s="14" t="s">
        <v>25</v>
      </c>
      <c r="C31" s="14" t="s">
        <v>26</v>
      </c>
      <c r="D31" s="15" t="s">
        <v>536</v>
      </c>
      <c r="E31" s="14" t="s">
        <v>507</v>
      </c>
      <c r="F31" s="14" t="s">
        <v>537</v>
      </c>
    </row>
    <row r="32" customFormat="false" ht="15" hidden="false" customHeight="false" outlineLevel="0" collapsed="false">
      <c r="A32" s="14" t="s">
        <v>166</v>
      </c>
      <c r="B32" s="14" t="s">
        <v>25</v>
      </c>
      <c r="C32" s="14" t="s">
        <v>26</v>
      </c>
      <c r="D32" s="15" t="s">
        <v>538</v>
      </c>
      <c r="E32" s="14" t="s">
        <v>507</v>
      </c>
      <c r="F32" s="14" t="s">
        <v>539</v>
      </c>
    </row>
    <row r="33" customFormat="false" ht="15" hidden="false" customHeight="false" outlineLevel="0" collapsed="false">
      <c r="A33" s="14" t="s">
        <v>170</v>
      </c>
      <c r="B33" s="14" t="s">
        <v>25</v>
      </c>
      <c r="C33" s="14" t="s">
        <v>26</v>
      </c>
      <c r="D33" s="15" t="s">
        <v>540</v>
      </c>
      <c r="E33" s="14" t="s">
        <v>507</v>
      </c>
      <c r="F33" s="14" t="s">
        <v>541</v>
      </c>
    </row>
    <row r="34" customFormat="false" ht="15" hidden="false" customHeight="false" outlineLevel="0" collapsed="false">
      <c r="A34" s="14" t="s">
        <v>174</v>
      </c>
      <c r="B34" s="14" t="s">
        <v>25</v>
      </c>
      <c r="C34" s="14" t="s">
        <v>26</v>
      </c>
      <c r="D34" s="15" t="s">
        <v>542</v>
      </c>
      <c r="E34" s="14" t="s">
        <v>507</v>
      </c>
      <c r="F34" s="14" t="s">
        <v>543</v>
      </c>
    </row>
    <row r="35" customFormat="false" ht="15" hidden="false" customHeight="false" outlineLevel="0" collapsed="false">
      <c r="A35" s="14" t="s">
        <v>178</v>
      </c>
      <c r="B35" s="14" t="s">
        <v>25</v>
      </c>
      <c r="C35" s="14" t="s">
        <v>26</v>
      </c>
      <c r="D35" s="14" t="s">
        <v>505</v>
      </c>
      <c r="E35" s="14" t="s">
        <v>21</v>
      </c>
      <c r="F35" s="14" t="s">
        <v>531</v>
      </c>
    </row>
    <row r="36" customFormat="false" ht="15" hidden="false" customHeight="false" outlineLevel="0" collapsed="false">
      <c r="A36" s="14" t="s">
        <v>182</v>
      </c>
      <c r="B36" s="14" t="s">
        <v>25</v>
      </c>
      <c r="C36" s="14" t="s">
        <v>26</v>
      </c>
      <c r="D36" s="14" t="s">
        <v>505</v>
      </c>
      <c r="E36" s="14" t="s">
        <v>21</v>
      </c>
      <c r="F36" s="14" t="s">
        <v>531</v>
      </c>
    </row>
    <row r="37" customFormat="false" ht="15" hidden="false" customHeight="false" outlineLevel="0" collapsed="false">
      <c r="A37" s="14" t="s">
        <v>186</v>
      </c>
      <c r="B37" s="14" t="s">
        <v>25</v>
      </c>
      <c r="C37" s="14" t="s">
        <v>26</v>
      </c>
      <c r="D37" s="14" t="s">
        <v>505</v>
      </c>
      <c r="E37" s="14" t="s">
        <v>21</v>
      </c>
      <c r="F37" s="14" t="s">
        <v>531</v>
      </c>
    </row>
    <row r="38" customFormat="false" ht="15" hidden="false" customHeight="false" outlineLevel="0" collapsed="false">
      <c r="A38" s="14" t="s">
        <v>189</v>
      </c>
      <c r="B38" s="14" t="s">
        <v>25</v>
      </c>
      <c r="C38" s="14" t="s">
        <v>26</v>
      </c>
      <c r="D38" s="14" t="s">
        <v>505</v>
      </c>
      <c r="E38" s="14" t="s">
        <v>21</v>
      </c>
      <c r="F38" s="14" t="s">
        <v>531</v>
      </c>
    </row>
    <row r="39" customFormat="false" ht="15" hidden="false" customHeight="false" outlineLevel="0" collapsed="false">
      <c r="A39" s="14" t="s">
        <v>192</v>
      </c>
      <c r="B39" s="14" t="s">
        <v>25</v>
      </c>
      <c r="C39" s="14" t="s">
        <v>26</v>
      </c>
      <c r="D39" s="14" t="s">
        <v>505</v>
      </c>
      <c r="E39" s="14" t="s">
        <v>21</v>
      </c>
    </row>
    <row r="40" customFormat="false" ht="15" hidden="false" customHeight="false" outlineLevel="0" collapsed="false">
      <c r="A40" s="14" t="s">
        <v>198</v>
      </c>
      <c r="B40" s="14" t="s">
        <v>25</v>
      </c>
      <c r="C40" s="14" t="s">
        <v>26</v>
      </c>
      <c r="D40" s="14" t="s">
        <v>505</v>
      </c>
      <c r="E40" s="14" t="s">
        <v>21</v>
      </c>
    </row>
    <row r="41" customFormat="false" ht="28.35" hidden="false" customHeight="false" outlineLevel="0" collapsed="false">
      <c r="A41" s="14" t="s">
        <v>202</v>
      </c>
      <c r="B41" s="14" t="s">
        <v>25</v>
      </c>
      <c r="C41" s="14" t="s">
        <v>26</v>
      </c>
      <c r="D41" s="15" t="s">
        <v>544</v>
      </c>
      <c r="E41" s="14" t="s">
        <v>507</v>
      </c>
      <c r="F41" s="14" t="s">
        <v>545</v>
      </c>
    </row>
    <row r="42" customFormat="false" ht="28.35" hidden="false" customHeight="false" outlineLevel="0" collapsed="false">
      <c r="A42" s="14" t="s">
        <v>207</v>
      </c>
      <c r="B42" s="14" t="s">
        <v>25</v>
      </c>
      <c r="C42" s="14" t="s">
        <v>26</v>
      </c>
      <c r="D42" s="15" t="s">
        <v>546</v>
      </c>
      <c r="E42" s="14" t="s">
        <v>507</v>
      </c>
      <c r="F42" s="14" t="s">
        <v>547</v>
      </c>
    </row>
    <row r="43" customFormat="false" ht="15" hidden="false" customHeight="false" outlineLevel="0" collapsed="false">
      <c r="A43" s="14" t="s">
        <v>211</v>
      </c>
      <c r="B43" s="14" t="s">
        <v>25</v>
      </c>
      <c r="C43" s="14" t="s">
        <v>26</v>
      </c>
      <c r="D43" s="14" t="s">
        <v>505</v>
      </c>
      <c r="E43" s="14" t="s">
        <v>21</v>
      </c>
    </row>
    <row r="44" customFormat="false" ht="15" hidden="false" customHeight="false" outlineLevel="0" collapsed="false">
      <c r="A44" s="14" t="s">
        <v>215</v>
      </c>
      <c r="B44" s="14" t="s">
        <v>25</v>
      </c>
      <c r="C44" s="14" t="s">
        <v>26</v>
      </c>
      <c r="D44" s="14" t="s">
        <v>505</v>
      </c>
      <c r="E44" s="14" t="s">
        <v>21</v>
      </c>
    </row>
    <row r="45" customFormat="false" ht="28.35" hidden="false" customHeight="false" outlineLevel="0" collapsed="false">
      <c r="A45" s="14" t="s">
        <v>220</v>
      </c>
      <c r="B45" s="14" t="s">
        <v>25</v>
      </c>
      <c r="C45" s="14" t="s">
        <v>26</v>
      </c>
      <c r="D45" s="15" t="s">
        <v>548</v>
      </c>
      <c r="E45" s="14" t="s">
        <v>507</v>
      </c>
      <c r="F45" s="14" t="s">
        <v>549</v>
      </c>
    </row>
    <row r="46" customFormat="false" ht="15" hidden="false" customHeight="false" outlineLevel="0" collapsed="false">
      <c r="A46" s="14" t="s">
        <v>226</v>
      </c>
      <c r="B46" s="14" t="s">
        <v>25</v>
      </c>
      <c r="C46" s="14" t="s">
        <v>26</v>
      </c>
      <c r="D46" s="14" t="s">
        <v>505</v>
      </c>
      <c r="E46" s="14" t="s">
        <v>21</v>
      </c>
    </row>
    <row r="47" customFormat="false" ht="68.65" hidden="false" customHeight="false" outlineLevel="0" collapsed="false">
      <c r="A47" s="14" t="s">
        <v>231</v>
      </c>
      <c r="B47" s="14" t="s">
        <v>25</v>
      </c>
      <c r="C47" s="14" t="s">
        <v>26</v>
      </c>
      <c r="D47" s="15" t="s">
        <v>550</v>
      </c>
      <c r="E47" s="14" t="s">
        <v>507</v>
      </c>
      <c r="F47" s="14" t="s">
        <v>551</v>
      </c>
    </row>
    <row r="48" customFormat="false" ht="15" hidden="false" customHeight="false" outlineLevel="0" collapsed="false">
      <c r="A48" s="14" t="s">
        <v>236</v>
      </c>
      <c r="B48" s="14" t="s">
        <v>25</v>
      </c>
      <c r="C48" s="14" t="s">
        <v>26</v>
      </c>
      <c r="D48" s="15" t="s">
        <v>552</v>
      </c>
      <c r="E48" s="14" t="s">
        <v>507</v>
      </c>
      <c r="F48" s="14" t="s">
        <v>553</v>
      </c>
    </row>
    <row r="49" customFormat="false" ht="15" hidden="false" customHeight="false" outlineLevel="0" collapsed="false">
      <c r="A49" s="14" t="s">
        <v>240</v>
      </c>
      <c r="B49" s="14" t="s">
        <v>25</v>
      </c>
      <c r="C49" s="14" t="s">
        <v>26</v>
      </c>
      <c r="D49" s="14" t="s">
        <v>505</v>
      </c>
      <c r="E49" s="14" t="s">
        <v>21</v>
      </c>
    </row>
    <row r="50" customFormat="false" ht="15" hidden="false" customHeight="false" outlineLevel="0" collapsed="false">
      <c r="A50" s="14" t="s">
        <v>246</v>
      </c>
      <c r="B50" s="14" t="s">
        <v>25</v>
      </c>
      <c r="C50" s="14" t="s">
        <v>26</v>
      </c>
      <c r="D50" s="14" t="s">
        <v>505</v>
      </c>
      <c r="E50" s="14" t="s">
        <v>21</v>
      </c>
    </row>
    <row r="51" customFormat="false" ht="28.35" hidden="false" customHeight="false" outlineLevel="0" collapsed="false">
      <c r="A51" s="14" t="s">
        <v>251</v>
      </c>
      <c r="B51" s="14" t="s">
        <v>25</v>
      </c>
      <c r="C51" s="14" t="s">
        <v>26</v>
      </c>
      <c r="D51" s="15" t="s">
        <v>554</v>
      </c>
      <c r="E51" s="14" t="s">
        <v>507</v>
      </c>
      <c r="F51" s="14" t="s">
        <v>555</v>
      </c>
    </row>
    <row r="52" customFormat="false" ht="15" hidden="false" customHeight="false" outlineLevel="0" collapsed="false">
      <c r="A52" s="14" t="s">
        <v>257</v>
      </c>
      <c r="B52" s="14" t="s">
        <v>25</v>
      </c>
      <c r="C52" s="14" t="s">
        <v>26</v>
      </c>
      <c r="D52" s="14" t="s">
        <v>505</v>
      </c>
      <c r="E52" s="14" t="s">
        <v>21</v>
      </c>
    </row>
    <row r="53" customFormat="false" ht="15" hidden="false" customHeight="false" outlineLevel="0" collapsed="false">
      <c r="A53" s="14" t="s">
        <v>262</v>
      </c>
      <c r="B53" s="14" t="s">
        <v>25</v>
      </c>
      <c r="C53" s="14" t="s">
        <v>26</v>
      </c>
      <c r="D53" s="14" t="s">
        <v>505</v>
      </c>
      <c r="E53" s="14" t="s">
        <v>21</v>
      </c>
    </row>
    <row r="54" customFormat="false" ht="28.35" hidden="false" customHeight="false" outlineLevel="0" collapsed="false">
      <c r="A54" s="14" t="s">
        <v>267</v>
      </c>
      <c r="B54" s="14" t="s">
        <v>25</v>
      </c>
      <c r="C54" s="14" t="s">
        <v>26</v>
      </c>
      <c r="D54" s="15" t="s">
        <v>556</v>
      </c>
      <c r="E54" s="14" t="s">
        <v>507</v>
      </c>
      <c r="F54" s="14" t="s">
        <v>557</v>
      </c>
    </row>
    <row r="55" customFormat="false" ht="28.35" hidden="false" customHeight="false" outlineLevel="0" collapsed="false">
      <c r="A55" s="14" t="s">
        <v>272</v>
      </c>
      <c r="B55" s="14" t="s">
        <v>25</v>
      </c>
      <c r="C55" s="14" t="s">
        <v>26</v>
      </c>
      <c r="D55" s="15" t="s">
        <v>558</v>
      </c>
      <c r="E55" s="14" t="s">
        <v>507</v>
      </c>
      <c r="F55" s="14" t="s">
        <v>559</v>
      </c>
    </row>
    <row r="56" customFormat="false" ht="15" hidden="false" customHeight="false" outlineLevel="0" collapsed="false">
      <c r="A56" s="14" t="s">
        <v>278</v>
      </c>
      <c r="B56" s="14" t="s">
        <v>25</v>
      </c>
      <c r="C56" s="14" t="s">
        <v>26</v>
      </c>
      <c r="D56" s="15" t="s">
        <v>560</v>
      </c>
      <c r="E56" s="14" t="s">
        <v>507</v>
      </c>
      <c r="F56" s="14" t="s">
        <v>561</v>
      </c>
    </row>
    <row r="57" customFormat="false" ht="28.35" hidden="false" customHeight="false" outlineLevel="0" collapsed="false">
      <c r="A57" s="14" t="s">
        <v>281</v>
      </c>
      <c r="B57" s="14" t="s">
        <v>25</v>
      </c>
      <c r="C57" s="14" t="s">
        <v>26</v>
      </c>
      <c r="D57" s="15" t="s">
        <v>511</v>
      </c>
      <c r="E57" s="14" t="s">
        <v>507</v>
      </c>
      <c r="F57" s="14" t="s">
        <v>528</v>
      </c>
    </row>
    <row r="58" customFormat="false" ht="41.75" hidden="false" customHeight="false" outlineLevel="0" collapsed="false">
      <c r="A58" s="14" t="s">
        <v>286</v>
      </c>
      <c r="B58" s="14" t="s">
        <v>25</v>
      </c>
      <c r="C58" s="14" t="s">
        <v>26</v>
      </c>
      <c r="D58" s="15" t="s">
        <v>562</v>
      </c>
      <c r="E58" s="14" t="s">
        <v>507</v>
      </c>
      <c r="F58" s="14" t="s">
        <v>563</v>
      </c>
    </row>
    <row r="60" customFormat="false" ht="15" hidden="false" customHeight="false" outlineLevel="0" collapsed="false">
      <c r="A60" s="16" t="s">
        <v>564</v>
      </c>
    </row>
    <row r="61" customFormat="false" ht="15" hidden="false" customHeight="false" outlineLevel="0" collapsed="false">
      <c r="A61" s="1" t="s">
        <v>565</v>
      </c>
      <c r="F61" s="1" t="s">
        <v>566</v>
      </c>
    </row>
    <row r="62" customFormat="false" ht="15" hidden="false" customHeight="false" outlineLevel="0" collapsed="false">
      <c r="A62" s="1" t="s">
        <v>567</v>
      </c>
      <c r="F62" s="1" t="s">
        <v>568</v>
      </c>
    </row>
    <row r="63" customFormat="false" ht="15" hidden="false" customHeight="false" outlineLevel="0" collapsed="false">
      <c r="A63" s="1" t="s">
        <v>569</v>
      </c>
      <c r="F63" s="1" t="s">
        <v>570</v>
      </c>
    </row>
    <row r="64" customFormat="false" ht="15" hidden="false" customHeight="false" outlineLevel="0" collapsed="false">
      <c r="A64" s="1" t="s">
        <v>571</v>
      </c>
      <c r="F64" s="1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2026-10-24T13:51:26Z</dcterms:created>
  <dc:creator>openpyxl</dc:creator>
  <dc:description/>
  <dc:language>en-US</dc:language>
  <cp:lastModifiedBy/>
  <dcterms:modified xsi:type="dcterms:W3CDTF">2026-10-24T20:10:13Z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